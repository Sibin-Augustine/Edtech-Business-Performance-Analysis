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ibin\OneDrive\Desktop\Mock_Interview\Excel+SQL\"/>
    </mc:Choice>
  </mc:AlternateContent>
  <xr:revisionPtr revIDLastSave="0" documentId="8_{6588B5ED-05E0-4FAA-9091-6F6802F84770}" xr6:coauthVersionLast="47" xr6:coauthVersionMax="47" xr10:uidLastSave="{00000000-0000-0000-0000-000000000000}"/>
  <bookViews>
    <workbookView xWindow="-110" yWindow="-110" windowWidth="19420" windowHeight="11020" firstSheet="4" activeTab="8" xr2:uid="{AFC3FA6F-A597-425D-BBB5-7E54A7980853}"/>
  </bookViews>
  <sheets>
    <sheet name="Core_risk_analysis" sheetId="1" r:id="rId1"/>
    <sheet name="Borrower_profile" sheetId="2" r:id="rId2"/>
    <sheet name="DTI_Analysis" sheetId="3" r:id="rId3"/>
    <sheet name="Time_series_analysis" sheetId="4" r:id="rId4"/>
    <sheet name="Risk_analysis" sheetId="5" r:id="rId5"/>
    <sheet name="Geographic_analysis" sheetId="6" r:id="rId6"/>
    <sheet name="KPIs" sheetId="7" r:id="rId7"/>
    <sheet name="Pivot_Tables" sheetId="9" r:id="rId8"/>
    <sheet name="Dashboard" sheetId="8" r:id="rId9"/>
  </sheets>
  <definedNames>
    <definedName name="_xlcn.WorksheetConnection_Loan_Data_Project.xlsxTable101" hidden="1">Table10[]</definedName>
    <definedName name="_xlcn.WorksheetConnection_Loan_Data_Project.xlsxTable111" hidden="1">Table11[]</definedName>
    <definedName name="_xlcn.WorksheetConnection_Loan_Data_Project.xlsxTable121" hidden="1">Table12[]</definedName>
    <definedName name="_xlcn.WorksheetConnection_Loan_Data_Project.xlsxTable131" hidden="1">Table13[]</definedName>
    <definedName name="_xlcn.WorksheetConnection_Loan_Data_Project.xlsxTable21" hidden="1">Table2[]</definedName>
    <definedName name="_xlcn.WorksheetConnection_Loan_Data_Project.xlsxTable71" hidden="1">Table7[]</definedName>
    <definedName name="_xlcn.WorksheetConnection_Loan_Data_Project.xlsxTable91" hidden="1">Table9[]</definedName>
  </definedNames>
  <calcPr calcId="191029"/>
  <pivotCaches>
    <pivotCache cacheId="816" r:id="rId10"/>
    <pivotCache cacheId="819" r:id="rId11"/>
    <pivotCache cacheId="822" r:id="rId12"/>
    <pivotCache cacheId="825" r:id="rId13"/>
    <pivotCache cacheId="828" r:id="rId14"/>
    <pivotCache cacheId="831" r:id="rId15"/>
    <pivotCache cacheId="834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Loan_Data_Project.xlsx!Table2"/>
          <x15:modelTable id="Table7" name="Table7" connection="WorksheetConnection_Loan_Data_Project.xlsx!Table7"/>
          <x15:modelTable id="Table9" name="Table9" connection="WorksheetConnection_Loan_Data_Project.xlsx!Table9"/>
          <x15:modelTable id="Table10" name="Table10" connection="WorksheetConnection_Loan_Data_Project.xlsx!Table10"/>
          <x15:modelTable id="Table11" name="Table11" connection="WorksheetConnection_Loan_Data_Project.xlsx!Table11"/>
          <x15:modelTable id="Table12" name="Table12" connection="WorksheetConnection_Loan_Data_Project.xlsx!Table12"/>
          <x15:modelTable id="Table13" name="Table13" connection="WorksheetConnection_Loan_Data_Project.xlsx!Table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6F750-74FA-4FBC-971F-4EC49DFC827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CA71222-2CE3-4FE2-AE7E-8CF512968D1C}" name="WorksheetConnection_Loan_Data_Project.xlsx!Table10" type="102" refreshedVersion="8" minRefreshableVersion="5">
    <extLst>
      <ext xmlns:x15="http://schemas.microsoft.com/office/spreadsheetml/2010/11/main" uri="{DE250136-89BD-433C-8126-D09CA5730AF9}">
        <x15:connection id="Table10" autoDelete="1">
          <x15:rangePr sourceName="_xlcn.WorksheetConnection_Loan_Data_Project.xlsxTable101"/>
        </x15:connection>
      </ext>
    </extLst>
  </connection>
  <connection id="3" xr16:uid="{5F270744-0712-4F03-A07E-A23F8E296E28}" name="WorksheetConnection_Loan_Data_Project.xlsx!Table11" type="102" refreshedVersion="8" minRefreshableVersion="5">
    <extLst>
      <ext xmlns:x15="http://schemas.microsoft.com/office/spreadsheetml/2010/11/main" uri="{DE250136-89BD-433C-8126-D09CA5730AF9}">
        <x15:connection id="Table11" autoDelete="1">
          <x15:rangePr sourceName="_xlcn.WorksheetConnection_Loan_Data_Project.xlsxTable111"/>
        </x15:connection>
      </ext>
    </extLst>
  </connection>
  <connection id="4" xr16:uid="{D9AE723F-6E55-49B4-96EA-089FFF8CDFBC}" name="WorksheetConnection_Loan_Data_Project.xlsx!Table12" type="102" refreshedVersion="8" minRefreshableVersion="5">
    <extLst>
      <ext xmlns:x15="http://schemas.microsoft.com/office/spreadsheetml/2010/11/main" uri="{DE250136-89BD-433C-8126-D09CA5730AF9}">
        <x15:connection id="Table12" autoDelete="1">
          <x15:rangePr sourceName="_xlcn.WorksheetConnection_Loan_Data_Project.xlsxTable121"/>
        </x15:connection>
      </ext>
    </extLst>
  </connection>
  <connection id="5" xr16:uid="{7826FEDF-7B0F-4757-89DF-2ADF2897CB31}" name="WorksheetConnection_Loan_Data_Project.xlsx!Table13" type="102" refreshedVersion="8" minRefreshableVersion="5">
    <extLst>
      <ext xmlns:x15="http://schemas.microsoft.com/office/spreadsheetml/2010/11/main" uri="{DE250136-89BD-433C-8126-D09CA5730AF9}">
        <x15:connection id="Table13" autoDelete="1">
          <x15:rangePr sourceName="_xlcn.WorksheetConnection_Loan_Data_Project.xlsxTable131"/>
        </x15:connection>
      </ext>
    </extLst>
  </connection>
  <connection id="6" xr16:uid="{43528CF8-5A81-487D-85D9-469DEAD2C7F8}" name="WorksheetConnection_Loan_Data_Projec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Loan_Data_Project.xlsxTable21"/>
        </x15:connection>
      </ext>
    </extLst>
  </connection>
  <connection id="7" xr16:uid="{C138F5BB-DDE5-4079-A529-CD3B43FB568E}" name="WorksheetConnection_Loan_Data_Project.xlsx!Table7" type="102" refreshedVersion="8" minRefreshableVersion="5">
    <extLst>
      <ext xmlns:x15="http://schemas.microsoft.com/office/spreadsheetml/2010/11/main" uri="{DE250136-89BD-433C-8126-D09CA5730AF9}">
        <x15:connection id="Table7" autoDelete="1">
          <x15:rangePr sourceName="_xlcn.WorksheetConnection_Loan_Data_Project.xlsxTable71"/>
        </x15:connection>
      </ext>
    </extLst>
  </connection>
  <connection id="8" xr16:uid="{D8841BD4-3F24-478B-87F5-974758E20379}" name="WorksheetConnection_Loan_Data_Project.xlsx!Table9" type="102" refreshedVersion="8" minRefreshableVersion="5">
    <extLst>
      <ext xmlns:x15="http://schemas.microsoft.com/office/spreadsheetml/2010/11/main" uri="{DE250136-89BD-433C-8126-D09CA5730AF9}">
        <x15:connection id="Table9" autoDelete="1">
          <x15:rangePr sourceName="_xlcn.WorksheetConnection_Loan_Data_Project.xlsxTable91"/>
        </x15:connection>
      </ext>
    </extLst>
  </connection>
</connections>
</file>

<file path=xl/sharedStrings.xml><?xml version="1.0" encoding="utf-8"?>
<sst xmlns="http://schemas.openxmlformats.org/spreadsheetml/2006/main" count="171" uniqueCount="88">
  <si>
    <t>grade</t>
  </si>
  <si>
    <t>total_loans</t>
  </si>
  <si>
    <t>defaults</t>
  </si>
  <si>
    <t>default_rate_pct</t>
  </si>
  <si>
    <t>avg_interest_rate</t>
  </si>
  <si>
    <t>avg_loan_amount</t>
  </si>
  <si>
    <t>avg_borrower_income</t>
  </si>
  <si>
    <t>A</t>
  </si>
  <si>
    <t>B</t>
  </si>
  <si>
    <t>C</t>
  </si>
  <si>
    <t>D</t>
  </si>
  <si>
    <t>E</t>
  </si>
  <si>
    <t>F</t>
  </si>
  <si>
    <t>G</t>
  </si>
  <si>
    <t>purpose</t>
  </si>
  <si>
    <t>loans</t>
  </si>
  <si>
    <t>default_rate</t>
  </si>
  <si>
    <t>avg_loan_size</t>
  </si>
  <si>
    <t>educational</t>
  </si>
  <si>
    <t>small_business</t>
  </si>
  <si>
    <t>renewable_energy</t>
  </si>
  <si>
    <t>moving</t>
  </si>
  <si>
    <t>debt_consolidation</t>
  </si>
  <si>
    <t>medical</t>
  </si>
  <si>
    <t>other</t>
  </si>
  <si>
    <t>wedding</t>
  </si>
  <si>
    <t>house</t>
  </si>
  <si>
    <t>vacation</t>
  </si>
  <si>
    <t>major_purchase</t>
  </si>
  <si>
    <t>home_improvement</t>
  </si>
  <si>
    <t>credit_card</t>
  </si>
  <si>
    <t>car</t>
  </si>
  <si>
    <t>avg_interest</t>
  </si>
  <si>
    <t>home_ownership</t>
  </si>
  <si>
    <t>avg_income</t>
  </si>
  <si>
    <t>avg_loan_amt</t>
  </si>
  <si>
    <t>OTHER</t>
  </si>
  <si>
    <t>NONE</t>
  </si>
  <si>
    <t>RENT</t>
  </si>
  <si>
    <t>OWN</t>
  </si>
  <si>
    <t>MORTGAGE</t>
  </si>
  <si>
    <t>ANY</t>
  </si>
  <si>
    <t>income_bracket</t>
  </si>
  <si>
    <t>avg_dti</t>
  </si>
  <si>
    <t>dti_bucket</t>
  </si>
  <si>
    <t>avg_int_rate</t>
  </si>
  <si>
    <t>loan_year</t>
  </si>
  <si>
    <t>loans_issued</t>
  </si>
  <si>
    <t>total_disbursed_millions</t>
  </si>
  <si>
    <t>risk_segment</t>
  </si>
  <si>
    <t>addr_state</t>
  </si>
  <si>
    <t>AL</t>
  </si>
  <si>
    <t>AR</t>
  </si>
  <si>
    <t>MS</t>
  </si>
  <si>
    <t>LA</t>
  </si>
  <si>
    <t>OK</t>
  </si>
  <si>
    <t>NV</t>
  </si>
  <si>
    <t>NM</t>
  </si>
  <si>
    <t>NY</t>
  </si>
  <si>
    <t>SD</t>
  </si>
  <si>
    <t>HI</t>
  </si>
  <si>
    <t>metric</t>
  </si>
  <si>
    <t>value</t>
  </si>
  <si>
    <t>Total Loan Volume ($M)</t>
  </si>
  <si>
    <t>Avg Loan Size ($)</t>
  </si>
  <si>
    <t>Avg Interest Rate (%)</t>
  </si>
  <si>
    <t>Avg Borrower Income ($)</t>
  </si>
  <si>
    <t>Total Defaults</t>
  </si>
  <si>
    <t>Total Charged Off ($M)</t>
  </si>
  <si>
    <t>Overall Default Rate (%)</t>
  </si>
  <si>
    <t>Total Loans</t>
  </si>
  <si>
    <t>Defaults</t>
  </si>
  <si>
    <t>Column5</t>
  </si>
  <si>
    <t>Column6</t>
  </si>
  <si>
    <t>Category</t>
  </si>
  <si>
    <t>Loans</t>
  </si>
  <si>
    <t>Default Rate</t>
  </si>
  <si>
    <t>Sum of Default Rate</t>
  </si>
  <si>
    <t>Low (&lt;10)</t>
  </si>
  <si>
    <t>Moderate (10-20)</t>
  </si>
  <si>
    <t>High (20-30)</t>
  </si>
  <si>
    <t>Very High (30-40)</t>
  </si>
  <si>
    <t>Extreme (40+)</t>
  </si>
  <si>
    <t>Average Interest</t>
  </si>
  <si>
    <t>Low Risk</t>
  </si>
  <si>
    <t>Medium Risk</t>
  </si>
  <si>
    <t>High Risk</t>
  </si>
  <si>
    <t>Undetermined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</si>
</sst>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NumberFormat="1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1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" xfId="0" applyBorder="1"/>
  </cellXfs>
  <cellStyles count="1">
    <cellStyle name="Normal" xfId="0" builtinId="0"/>
  </cellStyles>
  <dxfs count="7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microsoft.com/office/2017/10/relationships/person" Target="persons/perso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cap="all" baseline="0">
                <a:solidFill>
                  <a:schemeClr val="tx2"/>
                </a:solidFill>
                <a:effectLst/>
              </a:rPr>
              <a:t>Educational &amp; Small Business Loans Default 60% More Than Average</a:t>
            </a:r>
            <a:endParaRPr lang="en-US" sz="105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11219039741222592"/>
          <c:y val="3.1037219176881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084536307961502"/>
          <c:y val="0.16493073782443862"/>
          <c:w val="0.71859908136482942"/>
          <c:h val="0.7841433362496352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Pivot_Tables!$R$1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Pivot_Tables!$Q$2:$Q$15</c:f>
              <c:strCache>
                <c:ptCount val="14"/>
                <c:pt idx="0">
                  <c:v>car</c:v>
                </c:pt>
                <c:pt idx="1">
                  <c:v>credit_card</c:v>
                </c:pt>
                <c:pt idx="2">
                  <c:v>debt_consolidation</c:v>
                </c:pt>
                <c:pt idx="3">
                  <c:v>educational</c:v>
                </c:pt>
                <c:pt idx="4">
                  <c:v>home_improvement</c:v>
                </c:pt>
                <c:pt idx="5">
                  <c:v>house</c:v>
                </c:pt>
                <c:pt idx="6">
                  <c:v>major_purchase</c:v>
                </c:pt>
                <c:pt idx="7">
                  <c:v>medical</c:v>
                </c:pt>
                <c:pt idx="8">
                  <c:v>moving</c:v>
                </c:pt>
                <c:pt idx="9">
                  <c:v>other</c:v>
                </c:pt>
                <c:pt idx="10">
                  <c:v>renewable_energy</c:v>
                </c:pt>
                <c:pt idx="11">
                  <c:v>small_business</c:v>
                </c:pt>
                <c:pt idx="12">
                  <c:v>vacation</c:v>
                </c:pt>
                <c:pt idx="13">
                  <c:v>wedding</c:v>
                </c:pt>
              </c:strCache>
            </c:strRef>
          </c:cat>
          <c:val>
            <c:numRef>
              <c:f>Pivot_Tables!$R$2:$R$15</c:f>
              <c:numCache>
                <c:formatCode>General</c:formatCode>
                <c:ptCount val="14"/>
                <c:pt idx="0">
                  <c:v>9.5399999999999991</c:v>
                </c:pt>
                <c:pt idx="1">
                  <c:v>10.220000000000001</c:v>
                </c:pt>
                <c:pt idx="2">
                  <c:v>13.63</c:v>
                </c:pt>
                <c:pt idx="3">
                  <c:v>20.75</c:v>
                </c:pt>
                <c:pt idx="4">
                  <c:v>11.05</c:v>
                </c:pt>
                <c:pt idx="5">
                  <c:v>12.3</c:v>
                </c:pt>
                <c:pt idx="6">
                  <c:v>11.72</c:v>
                </c:pt>
                <c:pt idx="7">
                  <c:v>13.23</c:v>
                </c:pt>
                <c:pt idx="8">
                  <c:v>15.31</c:v>
                </c:pt>
                <c:pt idx="9">
                  <c:v>12.68</c:v>
                </c:pt>
                <c:pt idx="10">
                  <c:v>16.07</c:v>
                </c:pt>
                <c:pt idx="11">
                  <c:v>19.82</c:v>
                </c:pt>
                <c:pt idx="12">
                  <c:v>11.99</c:v>
                </c:pt>
                <c:pt idx="13">
                  <c:v>12.4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D-44B4-BA0D-1AD08223A0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1636698432"/>
        <c:axId val="1629850672"/>
      </c:barChart>
      <c:catAx>
        <c:axId val="1636698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50672"/>
        <c:crosses val="autoZero"/>
        <c:auto val="1"/>
        <c:lblAlgn val="ctr"/>
        <c:lblOffset val="100"/>
        <c:noMultiLvlLbl val="0"/>
      </c:catAx>
      <c:valAx>
        <c:axId val="1629850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3669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31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cap="all" baseline="0">
                <a:solidFill>
                  <a:schemeClr val="tx2"/>
                </a:solidFill>
                <a:effectLst/>
              </a:rPr>
              <a:t>Renters Default 34% More Often Than Mortgage Holders</a:t>
            </a:r>
            <a:endParaRPr lang="en-US" sz="1050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</c:pivotFmt>
    </c:pivotFmts>
    <c:plotArea>
      <c:layout>
        <c:manualLayout>
          <c:layoutTarget val="inner"/>
          <c:xMode val="edge"/>
          <c:yMode val="edge"/>
          <c:x val="0.14742743242052142"/>
          <c:y val="0.14376385757638971"/>
          <c:w val="0.81351913679767873"/>
          <c:h val="0.752598092205494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Pivot_Tables!$G$1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Pivot_Tables!$F$2:$F$5</c:f>
              <c:strCache>
                <c:ptCount val="4"/>
                <c:pt idx="0">
                  <c:v>MORTGAGE</c:v>
                </c:pt>
                <c:pt idx="1">
                  <c:v>OTHER</c:v>
                </c:pt>
                <c:pt idx="2">
                  <c:v>OWN</c:v>
                </c:pt>
                <c:pt idx="3">
                  <c:v>RENT</c:v>
                </c:pt>
              </c:strCache>
            </c:strRef>
          </c:cat>
          <c:val>
            <c:numRef>
              <c:f>Pivot_Tables!$G$2:$G$5</c:f>
              <c:numCache>
                <c:formatCode>General</c:formatCode>
                <c:ptCount val="4"/>
                <c:pt idx="0">
                  <c:v>10.94</c:v>
                </c:pt>
                <c:pt idx="1">
                  <c:v>20.88</c:v>
                </c:pt>
                <c:pt idx="2">
                  <c:v>12.57</c:v>
                </c:pt>
                <c:pt idx="3">
                  <c:v>14.65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1A-415E-AC0F-56C8AA86E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366482063"/>
        <c:axId val="261283951"/>
      </c:barChart>
      <c:valAx>
        <c:axId val="26128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482063"/>
        <c:crossBetween val="between"/>
      </c:valAx>
      <c:catAx>
        <c:axId val="366482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839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3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1" u="none" strike="noStrike" cap="all" baseline="0">
                <a:solidFill>
                  <a:schemeClr val="accent1">
                    <a:lumMod val="50000"/>
                  </a:schemeClr>
                </a:solidFill>
                <a:effectLst/>
              </a:rPr>
              <a:t>DTI Predicts Default — Except Extreme (40+), Where 82% Are Debt RefinancinG</a:t>
            </a:r>
            <a:endParaRPr lang="en-US" sz="1050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Pivot_Tables!$N$7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Pivot_Tables!$M$8:$M$12</c:f>
              <c:strCache>
                <c:ptCount val="5"/>
                <c:pt idx="0">
                  <c:v>Very High (30-40)</c:v>
                </c:pt>
                <c:pt idx="1">
                  <c:v>High (20-30)</c:v>
                </c:pt>
                <c:pt idx="2">
                  <c:v>Moderate (10-20)</c:v>
                </c:pt>
                <c:pt idx="3">
                  <c:v>Low (&lt;10)</c:v>
                </c:pt>
                <c:pt idx="4">
                  <c:v>Extreme (40+)</c:v>
                </c:pt>
              </c:strCache>
            </c:strRef>
          </c:cat>
          <c:val>
            <c:numRef>
              <c:f>Pivot_Tables!$N$8:$N$12</c:f>
              <c:numCache>
                <c:formatCode>General</c:formatCode>
                <c:ptCount val="5"/>
                <c:pt idx="0">
                  <c:v>17.010000000000002</c:v>
                </c:pt>
                <c:pt idx="1">
                  <c:v>14.5</c:v>
                </c:pt>
                <c:pt idx="2">
                  <c:v>11.51</c:v>
                </c:pt>
                <c:pt idx="3">
                  <c:v>9.65</c:v>
                </c:pt>
                <c:pt idx="4">
                  <c:v>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A-475C-94A2-C63D57DB34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83915903"/>
        <c:axId val="261356431"/>
      </c:barChart>
      <c:catAx>
        <c:axId val="28391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56431"/>
        <c:crosses val="autoZero"/>
        <c:auto val="1"/>
        <c:lblAlgn val="ctr"/>
        <c:lblOffset val="100"/>
        <c:noMultiLvlLbl val="0"/>
      </c:catAx>
      <c:valAx>
        <c:axId val="261356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391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3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chemeClr val="tx2"/>
                </a:solidFill>
                <a:effectLst/>
              </a:rPr>
              <a:t>DEFAULT PEAKED AT 26% IN 2007, FELL TO ~15% POST-2010</a:t>
            </a:r>
            <a:endParaRPr lang="en-IN" sz="11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902166428565475"/>
          <c:y val="0.16564496112152585"/>
          <c:w val="0.75979130662785743"/>
          <c:h val="0.71879708678952992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Pivot_Tables!$J$1</c:f>
              <c:strCache>
                <c:ptCount val="1"/>
                <c:pt idx="0">
                  <c:v>Default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Pivot_Tables!$I$2:$I$13</c:f>
              <c:strCach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strCache>
            </c:strRef>
          </c:cat>
          <c:val>
            <c:numRef>
              <c:f>Pivot_Tables!$J$2:$J$13</c:f>
              <c:numCache>
                <c:formatCode>General</c:formatCode>
                <c:ptCount val="12"/>
                <c:pt idx="0">
                  <c:v>26.38</c:v>
                </c:pt>
                <c:pt idx="1">
                  <c:v>20.73</c:v>
                </c:pt>
                <c:pt idx="2">
                  <c:v>13.69</c:v>
                </c:pt>
                <c:pt idx="3">
                  <c:v>14.01</c:v>
                </c:pt>
                <c:pt idx="4">
                  <c:v>15.18</c:v>
                </c:pt>
                <c:pt idx="5">
                  <c:v>16.2</c:v>
                </c:pt>
                <c:pt idx="6">
                  <c:v>15.6</c:v>
                </c:pt>
                <c:pt idx="7">
                  <c:v>17.57</c:v>
                </c:pt>
                <c:pt idx="8">
                  <c:v>18.25</c:v>
                </c:pt>
                <c:pt idx="9">
                  <c:v>16.5</c:v>
                </c:pt>
                <c:pt idx="10">
                  <c:v>10.11</c:v>
                </c:pt>
                <c:pt idx="11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0-40E5-948F-5385DC31217B}"/>
            </c:ext>
          </c:extLst>
        </c:ser>
        <c:ser>
          <c:idx val="1"/>
          <c:order val="1"/>
          <c:tx>
            <c:strRef>
              <c:f>Pivot_Tables!$K$1</c:f>
              <c:strCache>
                <c:ptCount val="1"/>
                <c:pt idx="0">
                  <c:v>Average Interest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Pivot_Tables!$I$2:$I$13</c:f>
              <c:strCache>
                <c:ptCount val="12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</c:strCache>
            </c:strRef>
          </c:cat>
          <c:val>
            <c:numRef>
              <c:f>Pivot_Tables!$K$2:$K$13</c:f>
              <c:numCache>
                <c:formatCode>General</c:formatCode>
                <c:ptCount val="12"/>
                <c:pt idx="0">
                  <c:v>11.85</c:v>
                </c:pt>
                <c:pt idx="1">
                  <c:v>12.06</c:v>
                </c:pt>
                <c:pt idx="2">
                  <c:v>12.44</c:v>
                </c:pt>
                <c:pt idx="3">
                  <c:v>11.99</c:v>
                </c:pt>
                <c:pt idx="4">
                  <c:v>12.22</c:v>
                </c:pt>
                <c:pt idx="5">
                  <c:v>13.64</c:v>
                </c:pt>
                <c:pt idx="6">
                  <c:v>14.53</c:v>
                </c:pt>
                <c:pt idx="7">
                  <c:v>13.77</c:v>
                </c:pt>
                <c:pt idx="8">
                  <c:v>12.6</c:v>
                </c:pt>
                <c:pt idx="9">
                  <c:v>13.04</c:v>
                </c:pt>
                <c:pt idx="10">
                  <c:v>13.24</c:v>
                </c:pt>
                <c:pt idx="11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0-40E5-948F-5385DC312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14431"/>
        <c:axId val="1660778287"/>
      </c:lineChart>
      <c:catAx>
        <c:axId val="4506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778287"/>
        <c:crosses val="autoZero"/>
        <c:auto val="1"/>
        <c:lblAlgn val="ctr"/>
        <c:lblOffset val="100"/>
        <c:noMultiLvlLbl val="0"/>
      </c:catAx>
      <c:valAx>
        <c:axId val="166077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0441919783577927E-2"/>
          <c:y val="5.5368097861843699E-2"/>
          <c:w val="0.13805179938817277"/>
          <c:h val="0.24223553893068275"/>
        </c:manualLayout>
      </c:layout>
      <c:overlay val="0"/>
      <c:spPr>
        <a:noFill/>
        <a:ln>
          <a:solidFill>
            <a:schemeClr val="tx1">
              <a:alpha val="42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  <a:alpha val="3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cap="all" baseline="0">
                <a:solidFill>
                  <a:schemeClr val="tx2"/>
                </a:solidFill>
                <a:effectLst/>
              </a:rPr>
              <a:t>High-Risk Loans Default 4x More Than Low-Risk (21% vs 5%)</a:t>
            </a:r>
            <a:endParaRPr lang="en-IN" sz="1000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23519830854476523"/>
          <c:y val="2.6582291728442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738692038495184"/>
          <c:y val="0.15725518651210332"/>
          <c:w val="0.52569160104986878"/>
          <c:h val="0.791819142738534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Pivot_Tables!$N$1</c:f>
              <c:strCache>
                <c:ptCount val="1"/>
                <c:pt idx="0">
                  <c:v>Default Rate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Pivot_Tables!$M$2:$M$5</c:f>
              <c:strCache>
                <c:ptCount val="4"/>
                <c:pt idx="0">
                  <c:v>Low Risk</c:v>
                </c:pt>
                <c:pt idx="1">
                  <c:v>Undetermined</c:v>
                </c:pt>
                <c:pt idx="2">
                  <c:v>Medium Risk</c:v>
                </c:pt>
                <c:pt idx="3">
                  <c:v>High Risk</c:v>
                </c:pt>
              </c:strCache>
            </c:strRef>
          </c:cat>
          <c:val>
            <c:numRef>
              <c:f>Pivot_Tables!$N$2:$N$5</c:f>
              <c:numCache>
                <c:formatCode>General</c:formatCode>
                <c:ptCount val="4"/>
                <c:pt idx="0">
                  <c:v>5.32</c:v>
                </c:pt>
                <c:pt idx="1">
                  <c:v>6.98</c:v>
                </c:pt>
                <c:pt idx="2">
                  <c:v>14.92</c:v>
                </c:pt>
                <c:pt idx="3">
                  <c:v>21.06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2-46AA-AAA9-715FDB594111}"/>
            </c:ext>
          </c:extLst>
        </c:ser>
        <c:ser>
          <c:idx val="1"/>
          <c:order val="1"/>
          <c:tx>
            <c:strRef>
              <c:f>Pivot_Tables!$O$1</c:f>
              <c:strCache>
                <c:ptCount val="1"/>
                <c:pt idx="0">
                  <c:v>Average Interest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Pivot_Tables!$M$2:$M$5</c:f>
              <c:strCache>
                <c:ptCount val="4"/>
                <c:pt idx="0">
                  <c:v>Low Risk</c:v>
                </c:pt>
                <c:pt idx="1">
                  <c:v>Undetermined</c:v>
                </c:pt>
                <c:pt idx="2">
                  <c:v>Medium Risk</c:v>
                </c:pt>
                <c:pt idx="3">
                  <c:v>High Risk</c:v>
                </c:pt>
              </c:strCache>
            </c:strRef>
          </c:cat>
          <c:val>
            <c:numRef>
              <c:f>Pivot_Tables!$O$2:$O$5</c:f>
              <c:numCache>
                <c:formatCode>General</c:formatCode>
                <c:ptCount val="4"/>
                <c:pt idx="0">
                  <c:v>8.9700000000000006</c:v>
                </c:pt>
                <c:pt idx="1">
                  <c:v>9.3699999999999992</c:v>
                </c:pt>
                <c:pt idx="2">
                  <c:v>14.51</c:v>
                </c:pt>
                <c:pt idx="3">
                  <c:v>18.010000000000002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D2-46AA-AAA9-715FDB594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27"/>
        <c:overlap val="-48"/>
        <c:axId val="451896495"/>
        <c:axId val="503352847"/>
      </c:barChart>
      <c:catAx>
        <c:axId val="451896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52847"/>
        <c:crosses val="autoZero"/>
        <c:auto val="1"/>
        <c:lblAlgn val="ctr"/>
        <c:lblOffset val="100"/>
        <c:noMultiLvlLbl val="0"/>
      </c:catAx>
      <c:valAx>
        <c:axId val="503352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8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6048913381150109E-2"/>
          <c:y val="9.9470537710326559E-2"/>
          <c:w val="0.20617714452360125"/>
          <c:h val="0.16898988892211259"/>
        </c:manualLayout>
      </c:layout>
      <c:overlay val="0"/>
      <c:spPr>
        <a:noFill/>
        <a:ln>
          <a:solidFill>
            <a:schemeClr val="tx1">
              <a:alpha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3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[Loan_Data_Project.xlsx]Pivot_Tables!PivotTable7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solidFill>
                  <a:srgbClr val="FF0000"/>
                </a:solidFill>
              </a:rPr>
              <a:t>Default rate</a:t>
            </a:r>
            <a:r>
              <a:rPr lang="en-US" sz="1000" baseline="0">
                <a:solidFill>
                  <a:srgbClr val="FF0000"/>
                </a:solidFill>
              </a:rPr>
              <a:t> by state</a:t>
            </a:r>
            <a:endParaRPr lang="en-US" sz="1000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1491532641579"/>
          <c:y val="0.14867031671215306"/>
          <c:w val="0.85705851609531369"/>
          <c:h val="0.764659921097552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Pivot_Tables!$G$7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Pivot_Tables!$F$8:$F$17</c:f>
              <c:strCache>
                <c:ptCount val="10"/>
                <c:pt idx="0">
                  <c:v>AL</c:v>
                </c:pt>
                <c:pt idx="1">
                  <c:v>AR</c:v>
                </c:pt>
                <c:pt idx="2">
                  <c:v>MS</c:v>
                </c:pt>
                <c:pt idx="3">
                  <c:v>LA</c:v>
                </c:pt>
                <c:pt idx="4">
                  <c:v>OK</c:v>
                </c:pt>
                <c:pt idx="5">
                  <c:v>NV</c:v>
                </c:pt>
                <c:pt idx="6">
                  <c:v>NM</c:v>
                </c:pt>
                <c:pt idx="7">
                  <c:v>NY</c:v>
                </c:pt>
                <c:pt idx="8">
                  <c:v>HI</c:v>
                </c:pt>
                <c:pt idx="9">
                  <c:v>SD</c:v>
                </c:pt>
              </c:strCache>
            </c:strRef>
          </c:cat>
          <c:val>
            <c:numRef>
              <c:f>Pivot_Tables!$G$8:$G$17</c:f>
              <c:numCache>
                <c:formatCode>General</c:formatCode>
                <c:ptCount val="10"/>
                <c:pt idx="0">
                  <c:v>15.22</c:v>
                </c:pt>
                <c:pt idx="1">
                  <c:v>14.91</c:v>
                </c:pt>
                <c:pt idx="2">
                  <c:v>14.74</c:v>
                </c:pt>
                <c:pt idx="3">
                  <c:v>14.72</c:v>
                </c:pt>
                <c:pt idx="4">
                  <c:v>14.7</c:v>
                </c:pt>
                <c:pt idx="5">
                  <c:v>14.28</c:v>
                </c:pt>
                <c:pt idx="6">
                  <c:v>13.92</c:v>
                </c:pt>
                <c:pt idx="7">
                  <c:v>13.81</c:v>
                </c:pt>
                <c:pt idx="8">
                  <c:v>13.64</c:v>
                </c:pt>
                <c:pt idx="9">
                  <c:v>13.63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2-46DC-8762-4C546E3089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32610815"/>
        <c:axId val="261227311"/>
      </c:barChart>
      <c:catAx>
        <c:axId val="3326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27311"/>
        <c:crosses val="autoZero"/>
        <c:auto val="1"/>
        <c:lblAlgn val="ctr"/>
        <c:lblOffset val="100"/>
        <c:noMultiLvlLbl val="0"/>
      </c:catAx>
      <c:valAx>
        <c:axId val="261227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261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3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[Loan_Data_Project.xlsx]Pivot_Tables!PivotTable1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 i="0" u="none" strike="noStrike" kern="1200" spc="0" baseline="0">
                <a:solidFill>
                  <a:schemeClr val="tx2"/>
                </a:solidFill>
                <a:effectLst/>
              </a:rPr>
              <a:t>DEFAULT RATE JUMPS 8x FROM GRADE A (5%) TO GRADE G (40%)</a:t>
            </a:r>
            <a:endParaRPr lang="en-IN" sz="1050" b="1" i="0" u="none" strike="noStrike" kern="1200" spc="0" baseline="0">
              <a:solidFill>
                <a:schemeClr val="tx2"/>
              </a:solidFill>
            </a:endParaRPr>
          </a:p>
          <a:p>
            <a:pPr>
              <a:defRPr/>
            </a:pPr>
            <a:endParaRPr lang="en-IN" sz="1050" b="1" i="0" u="none" strike="noStrike" kern="1200" spc="0" baseline="0">
              <a:solidFill>
                <a:schemeClr val="tx2"/>
              </a:solidFill>
            </a:endParaRPr>
          </a:p>
          <a:p>
            <a:pPr>
              <a:defRPr/>
            </a:pPr>
            <a:endParaRPr lang="en-IN" sz="1050" b="1" i="0" u="none" strike="noStrike" kern="1200" spc="0" baseline="0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2210517999631"/>
          <c:y val="0.17316444468308625"/>
          <c:w val="0.76334865717542877"/>
          <c:h val="0.72437802756840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 Loans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Pivot_Tables!$B$2:$B$8</c:f>
              <c:numCache>
                <c:formatCode>General</c:formatCode>
                <c:ptCount val="7"/>
                <c:pt idx="0">
                  <c:v>432362</c:v>
                </c:pt>
                <c:pt idx="1">
                  <c:v>662451</c:v>
                </c:pt>
                <c:pt idx="2">
                  <c:v>648743</c:v>
                </c:pt>
                <c:pt idx="3">
                  <c:v>323627</c:v>
                </c:pt>
                <c:pt idx="4">
                  <c:v>135345</c:v>
                </c:pt>
                <c:pt idx="5">
                  <c:v>41731</c:v>
                </c:pt>
                <c:pt idx="6">
                  <c:v>12119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F-4DFE-9068-A0E05988B285}"/>
            </c:ext>
          </c:extLst>
        </c:ser>
        <c:ser>
          <c:idx val="1"/>
          <c:order val="1"/>
          <c:tx>
            <c:strRef>
              <c:f>Pivot_Tables!$C$1</c:f>
              <c:strCache>
                <c:ptCount val="1"/>
                <c:pt idx="0">
                  <c:v>Defaults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Pivot_Tables!$C$2:$C$8</c:f>
              <c:numCache>
                <c:formatCode>General</c:formatCode>
                <c:ptCount val="7"/>
                <c:pt idx="0">
                  <c:v>15083</c:v>
                </c:pt>
                <c:pt idx="1">
                  <c:v>55892</c:v>
                </c:pt>
                <c:pt idx="2">
                  <c:v>90962</c:v>
                </c:pt>
                <c:pt idx="3">
                  <c:v>64560</c:v>
                </c:pt>
                <c:pt idx="4">
                  <c:v>37716</c:v>
                </c:pt>
                <c:pt idx="5">
                  <c:v>15064</c:v>
                </c:pt>
                <c:pt idx="6">
                  <c:v>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F-4DFE-9068-A0E0598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7203328"/>
        <c:axId val="1629909232"/>
      </c:barChart>
      <c:lineChart>
        <c:grouping val="standard"/>
        <c:varyColors val="0"/>
        <c:ser>
          <c:idx val="2"/>
          <c:order val="2"/>
          <c:tx>
            <c:strRef>
              <c:f>Pivot_Tables!$D$1</c:f>
              <c:strCache>
                <c:ptCount val="1"/>
                <c:pt idx="0">
                  <c:v>Default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Pivot_Tables!$D$2:$D$8</c:f>
              <c:numCache>
                <c:formatCode>General</c:formatCode>
                <c:ptCount val="7"/>
                <c:pt idx="0">
                  <c:v>3.49</c:v>
                </c:pt>
                <c:pt idx="1">
                  <c:v>8.44</c:v>
                </c:pt>
                <c:pt idx="2">
                  <c:v>14.02</c:v>
                </c:pt>
                <c:pt idx="3">
                  <c:v>19.95</c:v>
                </c:pt>
                <c:pt idx="4">
                  <c:v>27.87</c:v>
                </c:pt>
                <c:pt idx="5">
                  <c:v>36.1</c:v>
                </c:pt>
                <c:pt idx="6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FF-4DFE-9068-A0E05988B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13375"/>
        <c:axId val="1127018319"/>
      </c:lineChart>
      <c:catAx>
        <c:axId val="16972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909232"/>
        <c:crosses val="autoZero"/>
        <c:auto val="1"/>
        <c:lblAlgn val="ctr"/>
        <c:lblOffset val="100"/>
        <c:noMultiLvlLbl val="0"/>
      </c:catAx>
      <c:valAx>
        <c:axId val="162990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203328"/>
        <c:crosses val="autoZero"/>
        <c:crossBetween val="between"/>
      </c:valAx>
      <c:valAx>
        <c:axId val="112701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13375"/>
        <c:crosses val="max"/>
        <c:crossBetween val="between"/>
      </c:valAx>
      <c:catAx>
        <c:axId val="214613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018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397669803469688E-2"/>
          <c:y val="2.952755905511811E-2"/>
          <c:w val="8.7304013384008297E-2"/>
          <c:h val="0.22204102776626605"/>
        </c:manualLayout>
      </c:layout>
      <c:overlay val="0"/>
      <c:spPr>
        <a:noFill/>
        <a:ln>
          <a:solidFill>
            <a:sysClr val="windowText" lastClr="000000">
              <a:alpha val="50000"/>
            </a:sys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accent1">
        <a:lumMod val="20000"/>
        <a:lumOff val="80000"/>
        <a:alpha val="44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599622</xdr:colOff>
      <xdr:row>5</xdr:row>
      <xdr:rowOff>170537</xdr:rowOff>
    </xdr:from>
    <xdr:to>
      <xdr:col>2</xdr:col>
      <xdr:colOff>341086</xdr:colOff>
      <xdr:row>8</xdr:row>
      <xdr:rowOff>170537</xdr:rowOff>
    </xdr:to>
    <xdr:sp macro="" textlink="KPIs!B9">
      <xdr:nvSpPr>
        <xdr:cNvPr id="2" name="Rectangle: Rounded Corners 1">
          <a:extLst>
            <a:ext uri="{FF2B5EF4-FFF2-40B4-BE49-F238E27FC236}">
              <a16:creationId xmlns:a16="http://schemas.microsoft.com/office/drawing/2014/main" id="{655A01E6-3A5A-DA03-A56C-E04A3A649769}"/>
            </a:ext>
          </a:extLst>
        </xdr:cNvPr>
        <xdr:cNvSpPr/>
      </xdr:nvSpPr>
      <xdr:spPr>
        <a:xfrm>
          <a:off x="599622" y="1123037"/>
          <a:ext cx="960664" cy="5715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</a:t>
          </a:r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loans </a:t>
          </a:r>
        </a:p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</a:t>
          </a:r>
          <a:fld id="{C79A496C-5E04-4AA4-960E-807310585674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2260668</a:t>
          </a:fld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3</xdr:col>
      <xdr:colOff>273957</xdr:colOff>
      <xdr:row>5</xdr:row>
      <xdr:rowOff>190495</xdr:rowOff>
    </xdr:from>
    <xdr:to>
      <xdr:col>6</xdr:col>
      <xdr:colOff>28122</xdr:colOff>
      <xdr:row>8</xdr:row>
      <xdr:rowOff>184145</xdr:rowOff>
    </xdr:to>
    <xdr:sp macro="" textlink="KPIs!B2">
      <xdr:nvSpPr>
        <xdr:cNvPr id="3" name="Rectangle: Rounded Corners 2">
          <a:extLst>
            <a:ext uri="{FF2B5EF4-FFF2-40B4-BE49-F238E27FC236}">
              <a16:creationId xmlns:a16="http://schemas.microsoft.com/office/drawing/2014/main" id="{0925A3B0-ED73-4862-9B1B-1555D01D6515}"/>
            </a:ext>
          </a:extLst>
        </xdr:cNvPr>
        <xdr:cNvSpPr/>
      </xdr:nvSpPr>
      <xdr:spPr>
        <a:xfrm>
          <a:off x="2102757" y="1142995"/>
          <a:ext cx="1582965" cy="5651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Loan</a:t>
          </a:r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</a:t>
          </a:r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volume($M)</a:t>
          </a:r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                   </a:t>
          </a:r>
        </a:p>
        <a:p>
          <a:pPr algn="l"/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  </a:t>
          </a:r>
          <a:fld id="{5B59CC52-F4AB-4952-9B28-A91430451F0D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34016.12</a:t>
          </a:fld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605065</xdr:colOff>
      <xdr:row>5</xdr:row>
      <xdr:rowOff>173260</xdr:rowOff>
    </xdr:from>
    <xdr:to>
      <xdr:col>9</xdr:col>
      <xdr:colOff>249465</xdr:colOff>
      <xdr:row>9</xdr:row>
      <xdr:rowOff>8160</xdr:rowOff>
    </xdr:to>
    <xdr:sp macro="" textlink="KPIs!B3">
      <xdr:nvSpPr>
        <xdr:cNvPr id="4" name="Rectangle: Rounded Corners 3">
          <a:extLst>
            <a:ext uri="{FF2B5EF4-FFF2-40B4-BE49-F238E27FC236}">
              <a16:creationId xmlns:a16="http://schemas.microsoft.com/office/drawing/2014/main" id="{63C13926-9204-4643-BA1B-731540E48493}"/>
            </a:ext>
          </a:extLst>
        </xdr:cNvPr>
        <xdr:cNvSpPr/>
      </xdr:nvSpPr>
      <xdr:spPr>
        <a:xfrm>
          <a:off x="4262665" y="1125760"/>
          <a:ext cx="1473200" cy="5969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Average Loan</a:t>
          </a:r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Size ($)</a:t>
          </a:r>
        </a:p>
        <a:p>
          <a:pPr algn="l"/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</a:t>
          </a:r>
          <a:fld id="{16536A97-C8B7-4D57-BDAE-A6330AC28D58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15046.93</a:t>
          </a:fld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217714</xdr:colOff>
      <xdr:row>6</xdr:row>
      <xdr:rowOff>2718</xdr:rowOff>
    </xdr:from>
    <xdr:to>
      <xdr:col>12</xdr:col>
      <xdr:colOff>590549</xdr:colOff>
      <xdr:row>9</xdr:row>
      <xdr:rowOff>40818</xdr:rowOff>
    </xdr:to>
    <xdr:sp macro="" textlink="KPIs!B4">
      <xdr:nvSpPr>
        <xdr:cNvPr id="6" name="Rectangle: Rounded Corners 5">
          <a:extLst>
            <a:ext uri="{FF2B5EF4-FFF2-40B4-BE49-F238E27FC236}">
              <a16:creationId xmlns:a16="http://schemas.microsoft.com/office/drawing/2014/main" id="{665F7944-5DDD-43B3-A3C0-EA3432040183}"/>
            </a:ext>
          </a:extLst>
        </xdr:cNvPr>
        <xdr:cNvSpPr/>
      </xdr:nvSpPr>
      <xdr:spPr>
        <a:xfrm>
          <a:off x="6313714" y="1145718"/>
          <a:ext cx="1592035" cy="6096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Average Interest Rate          </a:t>
          </a:r>
        </a:p>
        <a:p>
          <a:pPr algn="l"/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     </a:t>
          </a:r>
          <a:fld id="{1946719E-04BE-49BE-A16F-6EC0C35F64B7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13.09</a:t>
          </a:fld>
          <a:r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%</a:t>
          </a:r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496207</xdr:colOff>
      <xdr:row>6</xdr:row>
      <xdr:rowOff>13603</xdr:rowOff>
    </xdr:from>
    <xdr:to>
      <xdr:col>15</xdr:col>
      <xdr:colOff>369206</xdr:colOff>
      <xdr:row>9</xdr:row>
      <xdr:rowOff>19953</xdr:rowOff>
    </xdr:to>
    <xdr:sp macro="" textlink="KPIs!B6">
      <xdr:nvSpPr>
        <xdr:cNvPr id="7" name="Rectangle: Rounded Corners 6">
          <a:extLst>
            <a:ext uri="{FF2B5EF4-FFF2-40B4-BE49-F238E27FC236}">
              <a16:creationId xmlns:a16="http://schemas.microsoft.com/office/drawing/2014/main" id="{EB410480-966C-4A08-8467-D4D9F7133FD7}"/>
            </a:ext>
          </a:extLst>
        </xdr:cNvPr>
        <xdr:cNvSpPr/>
      </xdr:nvSpPr>
      <xdr:spPr>
        <a:xfrm>
          <a:off x="8421007" y="1156603"/>
          <a:ext cx="1092199" cy="57785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Total Defaults</a:t>
          </a:r>
        </a:p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</a:t>
          </a:r>
          <a:fld id="{EAA2733F-86E1-4D87-A442-6E6F10E036E4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284344</a:t>
          </a:fld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355593</xdr:colOff>
      <xdr:row>6</xdr:row>
      <xdr:rowOff>29022</xdr:rowOff>
    </xdr:from>
    <xdr:to>
      <xdr:col>19</xdr:col>
      <xdr:colOff>1806</xdr:colOff>
      <xdr:row>9</xdr:row>
      <xdr:rowOff>16322</xdr:rowOff>
    </xdr:to>
    <xdr:sp macro="" textlink="KPIs!B8">
      <xdr:nvSpPr>
        <xdr:cNvPr id="8" name="Rectangle: Rounded Corners 7">
          <a:extLst>
            <a:ext uri="{FF2B5EF4-FFF2-40B4-BE49-F238E27FC236}">
              <a16:creationId xmlns:a16="http://schemas.microsoft.com/office/drawing/2014/main" id="{C342EDF2-6078-4B09-BA2A-5F96EE79A872}"/>
            </a:ext>
          </a:extLst>
        </xdr:cNvPr>
        <xdr:cNvSpPr/>
      </xdr:nvSpPr>
      <xdr:spPr>
        <a:xfrm>
          <a:off x="10109193" y="1172022"/>
          <a:ext cx="1475013" cy="5588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tx1"/>
          </a:solidFill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Overall</a:t>
          </a:r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Default Rate</a:t>
          </a:r>
        </a:p>
        <a:p>
          <a:pPr algn="l"/>
          <a:r>
            <a:rPr lang="en-US" sz="1100" b="0" i="0" u="none" strike="noStrike" cap="none" spc="0" baseline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             </a:t>
          </a:r>
          <a:fld id="{36264AF2-8F10-4A62-8C4E-88CC475E61DD}" type="TxLink"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l"/>
            <a:t>12.58</a:t>
          </a:fld>
          <a:r>
            <a:rPr lang="en-US" sz="1100" b="0" i="0" u="none" strike="noStrike" cap="none" spc="0">
              <a:ln w="0"/>
              <a:solidFill>
                <a:srgbClr val="FF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t>%</a:t>
          </a:r>
          <a:endParaRPr lang="en-IN" sz="11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22072</xdr:colOff>
      <xdr:row>27</xdr:row>
      <xdr:rowOff>7258</xdr:rowOff>
    </xdr:from>
    <xdr:to>
      <xdr:col>10</xdr:col>
      <xdr:colOff>159656</xdr:colOff>
      <xdr:row>42</xdr:row>
      <xdr:rowOff>14061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0D33B1B9-D6A1-4FF0-B232-A1FCD374D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435429</xdr:colOff>
      <xdr:row>27</xdr:row>
      <xdr:rowOff>30843</xdr:rowOff>
    </xdr:from>
    <xdr:to>
      <xdr:col>19</xdr:col>
      <xdr:colOff>9071</xdr:colOff>
      <xdr:row>42</xdr:row>
      <xdr:rowOff>16102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E87A17-0189-4D4D-B474-937B18926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-1</xdr:colOff>
      <xdr:row>42</xdr:row>
      <xdr:rowOff>128814</xdr:rowOff>
    </xdr:from>
    <xdr:to>
      <xdr:col>8</xdr:col>
      <xdr:colOff>299356</xdr:colOff>
      <xdr:row>59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E98EC00-233C-4B9A-8984-924AEC57A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471713</xdr:colOff>
      <xdr:row>42</xdr:row>
      <xdr:rowOff>154213</xdr:rowOff>
    </xdr:from>
    <xdr:to>
      <xdr:col>18</xdr:col>
      <xdr:colOff>598713</xdr:colOff>
      <xdr:row>59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28D28AA-2DB4-489B-8375-5A18EC842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18143</xdr:colOff>
      <xdr:row>63</xdr:row>
      <xdr:rowOff>19958</xdr:rowOff>
    </xdr:from>
    <xdr:to>
      <xdr:col>8</xdr:col>
      <xdr:colOff>498928</xdr:colOff>
      <xdr:row>79</xdr:row>
      <xdr:rowOff>19956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7A33133-5303-4119-8A82-B0F7404EC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</xdr:colOff>
      <xdr:row>63</xdr:row>
      <xdr:rowOff>38100</xdr:rowOff>
    </xdr:from>
    <xdr:to>
      <xdr:col>19</xdr:col>
      <xdr:colOff>0</xdr:colOff>
      <xdr:row>79</xdr:row>
      <xdr:rowOff>50799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0F8E906-0A45-4AFB-9095-E1E366109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15875</xdr:colOff>
      <xdr:row>1</xdr:row>
      <xdr:rowOff>18142</xdr:rowOff>
    </xdr:from>
    <xdr:to>
      <xdr:col>19</xdr:col>
      <xdr:colOff>15875</xdr:colOff>
      <xdr:row>4</xdr:row>
      <xdr:rowOff>95249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7F29C6E-997D-C17D-F63E-0388F35BC753}"/>
            </a:ext>
          </a:extLst>
        </xdr:cNvPr>
        <xdr:cNvSpPr/>
      </xdr:nvSpPr>
      <xdr:spPr>
        <a:xfrm>
          <a:off x="619125" y="208642"/>
          <a:ext cx="10858500" cy="648607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rgbClr val="FF0000"/>
              </a:solidFill>
            </a:rPr>
            <a:t>                                                         </a:t>
          </a:r>
          <a:r>
            <a:rPr lang="en-IN" sz="2400" b="1">
              <a:solidFill>
                <a:schemeClr val="accent1"/>
              </a:solidFill>
            </a:rPr>
            <a:t>LOAN DEFAULT ANALYSIS</a:t>
          </a:r>
        </a:p>
      </xdr:txBody>
    </xdr:sp>
    <xdr:clientData/>
  </xdr:twoCellAnchor>
  <xdr:twoCellAnchor>
    <xdr:from>
      <xdr:col>1</xdr:col>
      <xdr:colOff>38100</xdr:colOff>
      <xdr:row>80</xdr:row>
      <xdr:rowOff>114300</xdr:rowOff>
    </xdr:from>
    <xdr:to>
      <xdr:col>18</xdr:col>
      <xdr:colOff>558800</xdr:colOff>
      <xdr:row>82</xdr:row>
      <xdr:rowOff>25400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C61B968-6DB6-1D2E-5AF3-64717F1F6D67}"/>
            </a:ext>
          </a:extLst>
        </xdr:cNvPr>
        <xdr:cNvSpPr/>
      </xdr:nvSpPr>
      <xdr:spPr>
        <a:xfrm>
          <a:off x="647700" y="15354300"/>
          <a:ext cx="10883900" cy="2921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*Source: Lending Club Loan Data | Period: 2007-2018 | Note: 2018 defaults may be understated due to loan maturity</a:t>
          </a:r>
        </a:p>
      </xdr:txBody>
    </xdr:sp>
    <xdr:clientData/>
  </xdr:twoCellAnchor>
  <xdr:twoCellAnchor>
    <xdr:from>
      <xdr:col>1</xdr:col>
      <xdr:colOff>12700</xdr:colOff>
      <xdr:row>59</xdr:row>
      <xdr:rowOff>63500</xdr:rowOff>
    </xdr:from>
    <xdr:to>
      <xdr:col>8</xdr:col>
      <xdr:colOff>266700</xdr:colOff>
      <xdr:row>61</xdr:row>
      <xdr:rowOff>152400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B6E2F0F-1E1E-CBBB-1840-7C3771851210}"/>
            </a:ext>
          </a:extLst>
        </xdr:cNvPr>
        <xdr:cNvSpPr/>
      </xdr:nvSpPr>
      <xdr:spPr>
        <a:xfrm>
          <a:off x="622300" y="11303000"/>
          <a:ext cx="4521200" cy="469900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Extreme DTI (40+) shows lower defaults because 62% are debt consolidation + 20% credit card refi — borrowers using the loan to REDUCE their DTI, not increase risk.</a:t>
          </a:r>
          <a:endParaRPr lang="en-IN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558800</xdr:colOff>
      <xdr:row>9</xdr:row>
      <xdr:rowOff>165100</xdr:rowOff>
    </xdr:from>
    <xdr:to>
      <xdr:col>18</xdr:col>
      <xdr:colOff>584200</xdr:colOff>
      <xdr:row>25</xdr:row>
      <xdr:rowOff>12700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61965BA-A0AD-404F-A368-BCF2DEB71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3275463" backgroundQuery="1" createdVersion="8" refreshedVersion="8" minRefreshableVersion="3" recordCount="0" supportSubquery="1" supportAdvancedDrill="1" xr:uid="{2E4BB450-7D7C-4C1F-8030-F60A83547E57}">
  <cacheSource type="external" connectionId="1"/>
  <cacheFields count="2">
    <cacheField name="[Table2].[purpose].[purpose]" caption="purpose" numFmtId="0" hierarchy="25" level="1">
      <sharedItems count="14">
        <s v="car"/>
        <s v="credit_card"/>
        <s v="debt_consolidation"/>
        <s v="educational"/>
        <s v="home_improvement"/>
        <s v="house"/>
        <s v="major_purchase"/>
        <s v="medical"/>
        <s v="moving"/>
        <s v="other"/>
        <s v="renewable_energy"/>
        <s v="small_business"/>
        <s v="vacation"/>
        <s v="wedding"/>
      </sharedItems>
    </cacheField>
    <cacheField name="[Measures].[Sum of default_rate]" caption="Sum of default_rate" numFmtId="0" hierarchy="50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35763886" backgroundQuery="1" createdVersion="8" refreshedVersion="8" minRefreshableVersion="3" recordCount="0" supportSubquery="1" supportAdvancedDrill="1" xr:uid="{CDDC7373-C592-47AB-82FF-704D9AA576C4}">
  <cacheSource type="external" connectionId="1"/>
  <cacheFields count="2">
    <cacheField name="[Table7].[Category].[Category]" caption="Category" numFmtId="0" hierarchy="30" level="1">
      <sharedItems count="4">
        <s v="MORTGAGE"/>
        <s v="OTHER"/>
        <s v="OWN"/>
        <s v="RENT"/>
      </sharedItems>
    </cacheField>
    <cacheField name="[Measures].[Sum of Default Rate]" caption="Sum of Default Rate" numFmtId="0" hierarchy="51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2" memberValueDatatype="130" unbalanced="0">
      <fieldsUsage count="2">
        <fieldUsage x="-1"/>
        <fieldUsage x="0"/>
      </fieldsUsage>
    </cacheHierarchy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38310188" backgroundQuery="1" createdVersion="8" refreshedVersion="8" minRefreshableVersion="3" recordCount="0" supportSubquery="1" supportAdvancedDrill="1" xr:uid="{21F4B681-1983-4890-8E4B-78D233ABE65A}">
  <cacheSource type="external" connectionId="1"/>
  <cacheFields count="2">
    <cacheField name="[Table9].[dti_bucket].[dti_bucket]" caption="dti_bucket" numFmtId="0" hierarchy="36" level="1">
      <sharedItems count="5">
        <s v="Extreme (40+)"/>
        <s v="High (20-30)"/>
        <s v="Low (&lt;10)"/>
        <s v="Moderate (10-20)"/>
        <s v="Very High (30-40)"/>
      </sharedItems>
    </cacheField>
    <cacheField name="[Measures].[Sum of default_rate 2]" caption="Sum of default_rate 2" numFmtId="0" hierarchy="52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2" memberValueDatatype="130" unbalanced="0">
      <fieldsUsage count="2">
        <fieldUsage x="-1"/>
        <fieldUsage x="0"/>
      </fieldsUsage>
    </cacheHierarchy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41319444" backgroundQuery="1" createdVersion="8" refreshedVersion="8" minRefreshableVersion="3" recordCount="0" supportSubquery="1" supportAdvancedDrill="1" xr:uid="{D0218FD1-8F2E-446F-8A08-96FCFCB5E9F6}">
  <cacheSource type="external" connectionId="1"/>
  <cacheFields count="3">
    <cacheField name="[Table10].[loan_year].[loan_year]" caption="loan_year" numFmtId="0" level="1">
      <sharedItems containsSemiMixedTypes="0" containsString="0" containsNumber="1" containsInteger="1" minValue="2007" maxValue="2018" count="12">
        <n v="2007"/>
        <n v="2008"/>
        <n v="2009"/>
        <n v="2010"/>
        <n v="2011"/>
        <n v="2012"/>
        <n v="2013"/>
        <n v="2014"/>
        <n v="2015"/>
        <n v="2016"/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Table10].[loan_year].&amp;[2007]"/>
            <x15:cachedUniqueName index="1" name="[Table10].[loan_year].&amp;[2008]"/>
            <x15:cachedUniqueName index="2" name="[Table10].[loan_year].&amp;[2009]"/>
            <x15:cachedUniqueName index="3" name="[Table10].[loan_year].&amp;[2010]"/>
            <x15:cachedUniqueName index="4" name="[Table10].[loan_year].&amp;[2011]"/>
            <x15:cachedUniqueName index="5" name="[Table10].[loan_year].&amp;[2012]"/>
            <x15:cachedUniqueName index="6" name="[Table10].[loan_year].&amp;[2013]"/>
            <x15:cachedUniqueName index="7" name="[Table10].[loan_year].&amp;[2014]"/>
            <x15:cachedUniqueName index="8" name="[Table10].[loan_year].&amp;[2015]"/>
            <x15:cachedUniqueName index="9" name="[Table10].[loan_year].&amp;[2016]"/>
            <x15:cachedUniqueName index="10" name="[Table10].[loan_year].&amp;[2017]"/>
            <x15:cachedUniqueName index="11" name="[Table10].[loan_year].&amp;[2018]"/>
          </x15:cachedUniqueNames>
        </ext>
      </extLst>
    </cacheField>
    <cacheField name="[Measures].[Sum of default_rate 3]" caption="Sum of default_rate 3" numFmtId="0" hierarchy="56" level="32767"/>
    <cacheField name="[Measures].[Sum of avg_interest]" caption="Sum of avg_interest" numFmtId="0" hierarchy="57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2" memberValueDatatype="20" unbalanced="0">
      <fieldsUsage count="2">
        <fieldUsage x="-1"/>
        <fieldUsage x="0"/>
      </fieldsUsage>
    </cacheHierarchy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44444446" backgroundQuery="1" createdVersion="8" refreshedVersion="8" minRefreshableVersion="3" recordCount="0" supportSubquery="1" supportAdvancedDrill="1" xr:uid="{25E9F29B-2F78-472C-B66A-D29E4DA48310}">
  <cacheSource type="external" connectionId="1"/>
  <cacheFields count="3">
    <cacheField name="[Table11].[risk_segment].[risk_segment]" caption="risk_segment" numFmtId="0" hierarchy="7" level="1">
      <sharedItems count="4">
        <s v="High Risk"/>
        <s v="Low Risk"/>
        <s v="Medium Risk"/>
        <s v="Undetermined"/>
      </sharedItems>
    </cacheField>
    <cacheField name="[Measures].[Sum of default_rate 4]" caption="Sum of default_rate 4" numFmtId="0" hierarchy="58" level="32767"/>
    <cacheField name="[Measures].[Sum of avg_int_rate]" caption="Sum of avg_int_rate" numFmtId="0" hierarchy="59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2" memberValueDatatype="130" unbalanced="0">
      <fieldsUsage count="2">
        <fieldUsage x="-1"/>
        <fieldUsage x="0"/>
      </fieldsUsage>
    </cacheHierarchy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47222224" backgroundQuery="1" createdVersion="8" refreshedVersion="8" minRefreshableVersion="3" recordCount="0" supportSubquery="1" supportAdvancedDrill="1" xr:uid="{B9771B0B-B5EA-4563-A1F9-BE8434C24DE4}">
  <cacheSource type="external" connectionId="1"/>
  <cacheFields count="2">
    <cacheField name="[Table12].[addr_state].[addr_state]" caption="addr_state" numFmtId="0" hierarchy="13" level="1">
      <sharedItems count="10">
        <s v="AL"/>
        <s v="AR"/>
        <s v="HI"/>
        <s v="LA"/>
        <s v="MS"/>
        <s v="NM"/>
        <s v="NV"/>
        <s v="NY"/>
        <s v="OK"/>
        <s v="SD"/>
      </sharedItems>
    </cacheField>
    <cacheField name="[Measures].[Sum of default_rate 5]" caption="Sum of default_rate 5" numFmtId="0" hierarchy="62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2" memberValueDatatype="130" unbalanced="0">
      <fieldsUsage count="2">
        <fieldUsage x="-1"/>
        <fieldUsage x="0"/>
      </fieldsUsage>
    </cacheHierarchy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0" memberValueDatatype="130" unbalanced="0"/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bin Augustine" refreshedDate="46267.679749884257" backgroundQuery="1" createdVersion="8" refreshedVersion="8" minRefreshableVersion="3" recordCount="0" supportSubquery="1" supportAdvancedDrill="1" xr:uid="{E446E2A0-278B-4820-A7E9-A52FF6B76875}">
  <cacheSource type="external" connectionId="1"/>
  <cacheFields count="4">
    <cacheField name="[Table13].[grade].[grade]" caption="grade" numFmtId="0" hierarchy="18" level="1">
      <sharedItems count="7">
        <s v="A"/>
        <s v="B"/>
        <s v="C"/>
        <s v="D"/>
        <s v="E"/>
        <s v="F"/>
        <s v="G"/>
      </sharedItems>
    </cacheField>
    <cacheField name="[Measures].[Sum of total_loans]" caption="Sum of total_loans" numFmtId="0" hierarchy="63" level="32767"/>
    <cacheField name="[Measures].[Sum of defaults]" caption="Sum of defaults" numFmtId="0" hierarchy="64" level="32767"/>
    <cacheField name="[Measures].[Sum of default_rate_pct]" caption="Sum of default_rate_pct" numFmtId="0" hierarchy="65" level="32767"/>
  </cacheFields>
  <cacheHierarchies count="66">
    <cacheHierarchy uniqueName="[Table10].[loan_year]" caption="loan_year" attribute="1" defaultMemberUniqueName="[Table10].[loan_year].[All]" allUniqueName="[Table10].[loan_year].[All]" dimensionUniqueName="[Table10]" displayFolder="" count="0" memberValueDatatype="20" unbalanced="0"/>
    <cacheHierarchy uniqueName="[Table10].[loans_issued]" caption="loans_issued" attribute="1" defaultMemberUniqueName="[Table10].[loans_issued].[All]" allUniqueName="[Table10].[loans_issued].[All]" dimensionUniqueName="[Table10]" displayFolder="" count="0" memberValueDatatype="20" unbalanced="0"/>
    <cacheHierarchy uniqueName="[Table10].[defaults]" caption="defaults" attribute="1" defaultMemberUniqueName="[Table10].[defaults].[All]" allUniqueName="[Table10].[defaults].[All]" dimensionUniqueName="[Table10]" displayFolder="" count="0" memberValueDatatype="20" unbalanced="0"/>
    <cacheHierarchy uniqueName="[Table10].[default_rate]" caption="default_rate" attribute="1" defaultMemberUniqueName="[Table10].[default_rate].[All]" allUniqueName="[Table10].[default_rate].[All]" dimensionUniqueName="[Table10]" displayFolder="" count="0" memberValueDatatype="5" unbalanced="0"/>
    <cacheHierarchy uniqueName="[Table10].[avg_loan_size]" caption="avg_loan_size" attribute="1" defaultMemberUniqueName="[Table10].[avg_loan_size].[All]" allUniqueName="[Table10].[avg_loan_size].[All]" dimensionUniqueName="[Table10]" displayFolder="" count="0" memberValueDatatype="5" unbalanced="0"/>
    <cacheHierarchy uniqueName="[Table10].[avg_interest]" caption="avg_interest" attribute="1" defaultMemberUniqueName="[Table10].[avg_interest].[All]" allUniqueName="[Table10].[avg_interest].[All]" dimensionUniqueName="[Table10]" displayFolder="" count="0" memberValueDatatype="5" unbalanced="0"/>
    <cacheHierarchy uniqueName="[Table10].[total_disbursed_millions]" caption="total_disbursed_millions" attribute="1" defaultMemberUniqueName="[Table10].[total_disbursed_millions].[All]" allUniqueName="[Table10].[total_disbursed_millions].[All]" dimensionUniqueName="[Table10]" displayFolder="" count="0" memberValueDatatype="5" unbalanced="0"/>
    <cacheHierarchy uniqueName="[Table11].[risk_segment]" caption="risk_segment" attribute="1" defaultMemberUniqueName="[Table11].[risk_segment].[All]" allUniqueName="[Table11].[risk_segment].[All]" dimensionUniqueName="[Table11]" displayFolder="" count="0" memberValueDatatype="130" unbalanced="0"/>
    <cacheHierarchy uniqueName="[Table11].[loans]" caption="loans" attribute="1" defaultMemberUniqueName="[Table11].[loans].[All]" allUniqueName="[Table11].[loans].[All]" dimensionUniqueName="[Table11]" displayFolder="" count="0" memberValueDatatype="20" unbalanced="0"/>
    <cacheHierarchy uniqueName="[Table11].[defaults]" caption="defaults" attribute="1" defaultMemberUniqueName="[Table11].[defaults].[All]" allUniqueName="[Table11].[defaults].[All]" dimensionUniqueName="[Table11]" displayFolder="" count="0" memberValueDatatype="20" unbalanced="0"/>
    <cacheHierarchy uniqueName="[Table11].[default_rate]" caption="default_rate" attribute="1" defaultMemberUniqueName="[Table11].[default_rate].[All]" allUniqueName="[Table11].[default_rate].[All]" dimensionUniqueName="[Table11]" displayFolder="" count="0" memberValueDatatype="5" unbalanced="0"/>
    <cacheHierarchy uniqueName="[Table11].[avg_int_rate]" caption="avg_int_rate" attribute="1" defaultMemberUniqueName="[Table11].[avg_int_rate].[All]" allUniqueName="[Table11].[avg_int_rate].[All]" dimensionUniqueName="[Table11]" displayFolder="" count="0" memberValueDatatype="5" unbalanced="0"/>
    <cacheHierarchy uniqueName="[Table11].[avg_loan_amt]" caption="avg_loan_amt" attribute="1" defaultMemberUniqueName="[Table11].[avg_loan_amt].[All]" allUniqueName="[Table11].[avg_loan_amt].[All]" dimensionUniqueName="[Table11]" displayFolder="" count="0" memberValueDatatype="5" unbalanced="0"/>
    <cacheHierarchy uniqueName="[Table12].[addr_state]" caption="addr_state" attribute="1" defaultMemberUniqueName="[Table12].[addr_state].[All]" allUniqueName="[Table12].[addr_state].[All]" dimensionUniqueName="[Table12]" displayFolder="" count="0" memberValueDatatype="130" unbalanced="0"/>
    <cacheHierarchy uniqueName="[Table12].[loans]" caption="loans" attribute="1" defaultMemberUniqueName="[Table12].[loans].[All]" allUniqueName="[Table12].[loans].[All]" dimensionUniqueName="[Table12]" displayFolder="" count="0" memberValueDatatype="20" unbalanced="0"/>
    <cacheHierarchy uniqueName="[Table12].[defaults]" caption="defaults" attribute="1" defaultMemberUniqueName="[Table12].[defaults].[All]" allUniqueName="[Table12].[defaults].[All]" dimensionUniqueName="[Table12]" displayFolder="" count="0" memberValueDatatype="20" unbalanced="0"/>
    <cacheHierarchy uniqueName="[Table12].[default_rate]" caption="default_rate" attribute="1" defaultMemberUniqueName="[Table12].[default_rate].[All]" allUniqueName="[Table12].[default_rate].[All]" dimensionUniqueName="[Table12]" displayFolder="" count="0" memberValueDatatype="5" unbalanced="0"/>
    <cacheHierarchy uniqueName="[Table12].[avg_income]" caption="avg_income" attribute="1" defaultMemberUniqueName="[Table12].[avg_income].[All]" allUniqueName="[Table12].[avg_income].[All]" dimensionUniqueName="[Table12]" displayFolder="" count="0" memberValueDatatype="5" unbalanced="0"/>
    <cacheHierarchy uniqueName="[Table13].[grade]" caption="grade" attribute="1" defaultMemberUniqueName="[Table13].[grade].[All]" allUniqueName="[Table13].[grade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total_loans]" caption="total_loans" attribute="1" defaultMemberUniqueName="[Table13].[total_loans].[All]" allUniqueName="[Table13].[total_loans].[All]" dimensionUniqueName="[Table13]" displayFolder="" count="0" memberValueDatatype="20" unbalanced="0"/>
    <cacheHierarchy uniqueName="[Table13].[defaults]" caption="defaults" attribute="1" defaultMemberUniqueName="[Table13].[defaults].[All]" allUniqueName="[Table13].[defaults].[All]" dimensionUniqueName="[Table13]" displayFolder="" count="0" memberValueDatatype="20" unbalanced="0"/>
    <cacheHierarchy uniqueName="[Table13].[default_rate_pct]" caption="default_rate_pct" attribute="1" defaultMemberUniqueName="[Table13].[default_rate_pct].[All]" allUniqueName="[Table13].[default_rate_pct].[All]" dimensionUniqueName="[Table13]" displayFolder="" count="0" memberValueDatatype="5" unbalanced="0"/>
    <cacheHierarchy uniqueName="[Table13].[avg_interest_rate]" caption="avg_interest_rate" attribute="1" defaultMemberUniqueName="[Table13].[avg_interest_rate].[All]" allUniqueName="[Table13].[avg_interest_rate].[All]" dimensionUniqueName="[Table13]" displayFolder="" count="0" memberValueDatatype="5" unbalanced="0"/>
    <cacheHierarchy uniqueName="[Table13].[avg_loan_amount]" caption="avg_loan_amount" attribute="1" defaultMemberUniqueName="[Table13].[avg_loan_amount].[All]" allUniqueName="[Table13].[avg_loan_amount].[All]" dimensionUniqueName="[Table13]" displayFolder="" count="0" memberValueDatatype="5" unbalanced="0"/>
    <cacheHierarchy uniqueName="[Table13].[avg_borrower_income]" caption="avg_borrower_income" attribute="1" defaultMemberUniqueName="[Table13].[avg_borrower_income].[All]" allUniqueName="[Table13].[avg_borrower_income].[All]" dimensionUniqueName="[Table13]" displayFolder="" count="0" memberValueDatatype="5" unbalanced="0"/>
    <cacheHierarchy uniqueName="[Table2].[purpose]" caption="purpose" attribute="1" defaultMemberUniqueName="[Table2].[purpose].[All]" allUniqueName="[Table2].[purpose].[All]" dimensionUniqueName="[Table2]" displayFolder="" count="0" memberValueDatatype="130" unbalanced="0"/>
    <cacheHierarchy uniqueName="[Table2].[loans]" caption="loans" attribute="1" defaultMemberUniqueName="[Table2].[loans].[All]" allUniqueName="[Table2].[loans].[All]" dimensionUniqueName="[Table2]" displayFolder="" count="0" memberValueDatatype="20" unbalanced="0"/>
    <cacheHierarchy uniqueName="[Table2].[defaults]" caption="defaults" attribute="1" defaultMemberUniqueName="[Table2].[defaults].[All]" allUniqueName="[Table2].[defaults].[All]" dimensionUniqueName="[Table2]" displayFolder="" count="0" memberValueDatatype="20" unbalanced="0"/>
    <cacheHierarchy uniqueName="[Table2].[default_rate]" caption="default_rate" attribute="1" defaultMemberUniqueName="[Table2].[default_rate].[All]" allUniqueName="[Table2].[default_rate].[All]" dimensionUniqueName="[Table2]" displayFolder="" count="0" memberValueDatatype="5" unbalanced="0"/>
    <cacheHierarchy uniqueName="[Table2].[avg_loan_size]" caption="avg_loan_size" attribute="1" defaultMemberUniqueName="[Table2].[avg_loan_size].[All]" allUniqueName="[Table2].[avg_loan_size].[All]" dimensionUniqueName="[Table2]" displayFolder="" count="0" memberValueDatatype="5" unbalanced="0"/>
    <cacheHierarchy uniqueName="[Table7].[Category]" caption="Category" attribute="1" defaultMemberUniqueName="[Table7].[Category].[All]" allUniqueName="[Table7].[Category].[All]" dimensionUniqueName="[Table7]" displayFolder="" count="0" memberValueDatatype="130" unbalanced="0"/>
    <cacheHierarchy uniqueName="[Table7].[Loans]" caption="Loans" attribute="1" defaultMemberUniqueName="[Table7].[Loans].[All]" allUniqueName="[Table7].[Loans].[All]" dimensionUniqueName="[Table7]" displayFolder="" count="0" memberValueDatatype="20" unbalanced="0"/>
    <cacheHierarchy uniqueName="[Table7].[Defaults]" caption="Defaults" attribute="1" defaultMemberUniqueName="[Table7].[Defaults].[All]" allUniqueName="[Table7].[Defaults].[All]" dimensionUniqueName="[Table7]" displayFolder="" count="0" memberValueDatatype="20" unbalanced="0"/>
    <cacheHierarchy uniqueName="[Table7].[Default Rate]" caption="Default Rate" attribute="1" defaultMemberUniqueName="[Table7].[Default Rate].[All]" allUniqueName="[Table7].[Default Rate].[All]" dimensionUniqueName="[Table7]" displayFolder="" count="0" memberValueDatatype="5" unbalanced="0"/>
    <cacheHierarchy uniqueName="[Table7].[Column5]" caption="Column5" attribute="1" defaultMemberUniqueName="[Table7].[Column5].[All]" allUniqueName="[Table7].[Column5].[All]" dimensionUniqueName="[Table7]" displayFolder="" count="0" memberValueDatatype="5" unbalanced="0"/>
    <cacheHierarchy uniqueName="[Table7].[Column6]" caption="Column6" attribute="1" defaultMemberUniqueName="[Table7].[Column6].[All]" allUniqueName="[Table7].[Column6].[All]" dimensionUniqueName="[Table7]" displayFolder="" count="0" memberValueDatatype="5" unbalanced="0"/>
    <cacheHierarchy uniqueName="[Table9].[dti_bucket]" caption="dti_bucket" attribute="1" defaultMemberUniqueName="[Table9].[dti_bucket].[All]" allUniqueName="[Table9].[dti_bucket].[All]" dimensionUniqueName="[Table9]" displayFolder="" count="0" memberValueDatatype="130" unbalanced="0"/>
    <cacheHierarchy uniqueName="[Table9].[loans]" caption="loans" attribute="1" defaultMemberUniqueName="[Table9].[loans].[All]" allUniqueName="[Table9].[loans].[All]" dimensionUniqueName="[Table9]" displayFolder="" count="0" memberValueDatatype="20" unbalanced="0"/>
    <cacheHierarchy uniqueName="[Table9].[defaults]" caption="defaults" attribute="1" defaultMemberUniqueName="[Table9].[defaults].[All]" allUniqueName="[Table9].[defaults].[All]" dimensionUniqueName="[Table9]" displayFolder="" count="0" memberValueDatatype="20" unbalanced="0"/>
    <cacheHierarchy uniqueName="[Table9].[default_rate]" caption="default_rate" attribute="1" defaultMemberUniqueName="[Table9].[default_rate].[All]" allUniqueName="[Table9].[default_rate].[All]" dimensionUniqueName="[Table9]" displayFolder="" count="0" memberValueDatatype="5" unbalanced="0"/>
    <cacheHierarchy uniqueName="[Table9].[avg_int_rate]" caption="avg_int_rate" attribute="1" defaultMemberUniqueName="[Table9].[avg_int_rate].[All]" allUniqueName="[Table9].[avg_int_rate].[All]" dimensionUniqueName="[Table9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7]" caption="__XL_Count Table7" measure="1" displayFolder="" measureGroup="Table7" count="0" hidden="1"/>
    <cacheHierarchy uniqueName="[Measures].[__XL_Count Table9]" caption="__XL_Count Table9" measure="1" displayFolder="" measureGroup="Table9" count="0" hidden="1"/>
    <cacheHierarchy uniqueName="[Measures].[__XL_Count Table10]" caption="__XL_Count Table10" measure="1" displayFolder="" measureGroup="Table10" count="0" hidden="1"/>
    <cacheHierarchy uniqueName="[Measures].[__XL_Count Table11]" caption="__XL_Count Table11" measure="1" displayFolder="" measureGroup="Table11" count="0" hidden="1"/>
    <cacheHierarchy uniqueName="[Measures].[__XL_Count Table12]" caption="__XL_Count Table12" measure="1" displayFolder="" measureGroup="Table12" count="0" hidden="1"/>
    <cacheHierarchy uniqueName="[Measures].[__XL_Count Table13]" caption="__XL_Count Table13" measure="1" displayFolder="" measureGroup="Table13" count="0" hidden="1"/>
    <cacheHierarchy uniqueName="[Measures].[__No measures defined]" caption="__No measures defined" measure="1" displayFolder="" count="0" hidden="1"/>
    <cacheHierarchy uniqueName="[Measures].[Sum of defaults 2]" caption="Sum of defaults 2" measure="1" displayFolder="" measureGroup="Table2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default_rate]" caption="Sum of default_rate" measure="1" displayFolder="" measureGroup="Table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efault Rate]" caption="Sum of Default Rate" measure="1" displayFolder="" measureGroup="Table7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efault_rate 2]" caption="Sum of default_rate 2" measure="1" displayFolder="" measureGroup="Table9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loan_year]" caption="Sum of loan_year" measure="1" displayFolder="" measureGroup="Table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oans_issued]" caption="Sum of loans_issued" measure="1" displayFolder="" measureGroup="Table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defaults 3]" caption="Sum of defaults 3" measure="1" displayFolder="" measureGroup="Table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default_rate 3]" caption="Sum of default_rate 3" measure="1" displayFolder="" measureGroup="Table10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vg_interest]" caption="Sum of avg_interest" measure="1" displayFolder="" measureGroup="Table10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 4]" caption="Sum of default_rate 4" measure="1" displayFolder="" measureGroup="Table1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g_int_rate]" caption="Sum of avg_int_rate" measure="1" displayFolder="" measureGroup="Table1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loans]" caption="Sum of loans" measure="1" displayFolder="" measureGroup="Table1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defaults 4]" caption="Sum of defaults 4" measure="1" displayFolder="" measureGroup="Table1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 5]" caption="Sum of default_rate 5" measure="1" displayFolder="" measureGroup="Table12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otal_loans]" caption="Sum of total_loans" measure="1" displayFolder="" measureGroup="Table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aults]" caption="Sum of defaults" measure="1" displayFolder="" measureGroup="Table1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efault_rate_pct]" caption="Sum of default_rate_pct" measure="1" displayFolder="" measureGroup="Table1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8">
    <dimension measure="1" name="Measures" uniqueName="[Measures]" caption="Measures"/>
    <dimension name="Table10" uniqueName="[Table10]" caption="Table10"/>
    <dimension name="Table11" uniqueName="[Table11]" caption="Table11"/>
    <dimension name="Table12" uniqueName="[Table12]" caption="Table12"/>
    <dimension name="Table13" uniqueName="[Table13]" caption="Table13"/>
    <dimension name="Table2" uniqueName="[Table2]" caption="Table2"/>
    <dimension name="Table7" uniqueName="[Table7]" caption="Table7"/>
    <dimension name="Table9" uniqueName="[Table9]" caption="Table9"/>
  </dimensions>
  <measureGroups count="7">
    <measureGroup name="Table10" caption="Table10"/>
    <measureGroup name="Table11" caption="Table11"/>
    <measureGroup name="Table12" caption="Table12"/>
    <measureGroup name="Table13" caption="Table13"/>
    <measureGroup name="Table2" caption="Table2"/>
    <measureGroup name="Table7" caption="Table7"/>
    <measureGroup name="Table9" caption="Table9"/>
  </measureGroups>
  <maps count="7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24EC0-CDAD-4930-8D9D-4EA9CE2A700F}" name="PivotTable7" cacheId="831" applyNumberFormats="0" applyBorderFormats="0" applyFontFormats="0" applyPatternFormats="0" applyAlignmentFormats="0" applyWidthHeightFormats="1" dataCaption="Values" tag="026649a6-60e3-45d7-8436-950fe9c658ec" updatedVersion="8" minRefreshableVersion="3" useAutoFormatting="1" subtotalHiddenItems="1" rowGrandTotals="0" colGrandTotals="0" itemPrintTitles="1" createdVersion="8" indent="0" compact="0" compactData="0" multipleFieldFilters="0" chartFormat="10">
  <location ref="F7:G17" firstHeaderRow="1" firstDataRow="1" firstDataCol="1"/>
  <pivotFields count="2">
    <pivotField axis="axisRow" compact="0" allDrilled="1" outline="0" subtotalTop="0" showAll="0" sortType="de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</pivotFields>
  <rowFields count="1">
    <field x="0"/>
  </rowFields>
  <rowItems count="10">
    <i>
      <x/>
    </i>
    <i>
      <x v="1"/>
    </i>
    <i>
      <x v="4"/>
    </i>
    <i>
      <x v="3"/>
    </i>
    <i>
      <x v="8"/>
    </i>
    <i>
      <x v="6"/>
    </i>
    <i>
      <x v="5"/>
    </i>
    <i>
      <x v="7"/>
    </i>
    <i>
      <x v="2"/>
    </i>
    <i>
      <x v="9"/>
    </i>
  </rowItems>
  <colItems count="1">
    <i/>
  </colItems>
  <dataFields count="1">
    <dataField name="Default Rate" fld="1" baseField="0" baseItem="7"/>
  </dataFields>
  <formats count="5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outline="0" fieldPosition="0">
        <references count="1">
          <reference field="0" count="0"/>
        </references>
      </pivotArea>
    </format>
    <format dxfId="58">
      <pivotArea dataOnly="0" labelOnly="1" outline="0" axis="axisValues" fieldPosition="0"/>
    </format>
  </formats>
  <chartFormats count="1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Loans"/>
    <pivotHierarchy dragToData="1" caption="Defaults"/>
    <pivotHierarchy dragToData="1" caption="Default Rat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12">
        <x15:activeTabTopLevelEntity name="[Table12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D8094-2C04-4CF6-81F5-E8229A515395}" name="PivotTable6" cacheId="828" applyNumberFormats="0" applyBorderFormats="0" applyFontFormats="0" applyPatternFormats="0" applyAlignmentFormats="0" applyWidthHeightFormats="1" dataCaption="Values" tag="4cf89879-17f3-44af-b548-3b417c5870b6" updatedVersion="8" minRefreshableVersion="3" useAutoFormatting="1" subtotalHiddenItems="1" rowGrandTotals="0" colGrandTotals="0" itemPrintTitles="1" createdVersion="8" indent="0" compact="0" compactData="0" multipleFieldFilters="0" chartFormat="8">
  <location ref="M1:O5" firstHeaderRow="0" firstDataRow="1" firstDataCol="1"/>
  <pivotFields count="3">
    <pivotField axis="axisRow" compact="0" allDrilled="1" outline="0" subtotalTop="0" showAll="0" sortType="a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4">
    <i>
      <x v="1"/>
    </i>
    <i>
      <x v="3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Default Rate" fld="1" baseField="0" baseItem="0"/>
    <dataField name="Average Interest" fld="2" baseField="0" baseItem="0"/>
  </dataFields>
  <formats count="5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outline="0" fieldPosition="0">
        <references count="1">
          <reference field="0" count="0"/>
        </references>
      </pivotArea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 caption="Average Interes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095E4-3485-421B-A3AD-7CDEAE1418C8}" name="PivotTable5" cacheId="825" applyNumberFormats="0" applyBorderFormats="0" applyFontFormats="0" applyPatternFormats="0" applyAlignmentFormats="0" applyWidthHeightFormats="1" dataCaption="Values" tag="47fe95e3-c3e8-4537-a2b4-899aaba80c70" updatedVersion="8" minRefreshableVersion="3" useAutoFormatting="1" subtotalHiddenItems="1" rowGrandTotals="0" colGrandTotals="0" itemPrintTitles="1" createdVersion="8" indent="0" compact="0" compactData="0" multipleFieldFilters="0" chartFormat="6">
  <location ref="I1:K13" firstHeaderRow="0" firstDataRow="1" firstDataCol="1"/>
  <pivotFields count="3"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Default Rate" fld="1" baseField="0" baseItem="0"/>
    <dataField name="Average Interest" fld="2" baseField="0" baseItem="0"/>
  </dataFields>
  <formats count="5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 caption="Average Interes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10">
        <x15:activeTabTopLevelEntity name="[Table10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FD64E-83BC-4A0C-AEA8-B67DE8B8125E}" name="PivotTable4" cacheId="822" applyNumberFormats="0" applyBorderFormats="0" applyFontFormats="0" applyPatternFormats="0" applyAlignmentFormats="0" applyWidthHeightFormats="1" dataCaption="Values" tag="6d3d01e6-bb24-41bb-b4a1-120981de787c" updatedVersion="8" minRefreshableVersion="3" useAutoFormatting="1" subtotalHiddenItems="1" rowGrandTotals="0" colGrandTotals="0" itemPrintTitles="1" createdVersion="8" indent="0" compact="0" compactData="0" multipleFieldFilters="0" chartFormat="6">
  <location ref="M7:N12" firstHeaderRow="1" firstDataRow="1" firstDataCol="1"/>
  <pivotFields count="2">
    <pivotField axis="axisRow" compact="0" allDrilled="1" outline="0" subtotalTop="0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/>
  </pivotFields>
  <rowFields count="1">
    <field x="0"/>
  </rowFields>
  <rowItems count="5">
    <i>
      <x v="4"/>
    </i>
    <i>
      <x v="1"/>
    </i>
    <i>
      <x v="3"/>
    </i>
    <i>
      <x v="2"/>
    </i>
    <i>
      <x/>
    </i>
  </rowItems>
  <colItems count="1">
    <i/>
  </colItems>
  <dataFields count="1">
    <dataField name="Default Rate" fld="1" baseField="0" baseItem="4"/>
  </dataFields>
  <formats count="5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0" count="0"/>
        </references>
      </pivotArea>
    </format>
    <format dxfId="52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9">
        <x15:activeTabTopLevelEntity name="[Table9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14393-9684-4E5B-ADDB-F1250C6023FF}" name="PivotTable3" cacheId="819" applyNumberFormats="0" applyBorderFormats="0" applyFontFormats="0" applyPatternFormats="0" applyAlignmentFormats="0" applyWidthHeightFormats="1" dataCaption="Values" tag="fa07c19c-ea5f-412d-831d-20d34338b9ea" updatedVersion="8" minRefreshableVersion="3" useAutoFormatting="1" subtotalHiddenItems="1" rowGrandTotals="0" colGrandTotals="0" itemPrintTitles="1" createdVersion="8" indent="0" compact="0" compactData="0" multipleFieldFilters="0" chartFormat="6">
  <location ref="F1:G5" firstHeaderRow="1" firstDataRow="1" firstDataCol="1"/>
  <pivotFields count="2">
    <pivotField axis="axisRow" compact="0" allDrilled="1" outline="0" subtotalTop="0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compact="0" outline="0" subtotalTop="0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Default Rate" fld="1" baseField="0" baseItem="0"/>
  </dataFields>
  <formats count="5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0" type="button" dataOnly="0" labelOnly="1" outline="0" axis="axisRow" fieldPosition="0"/>
    </format>
    <format dxfId="70">
      <pivotArea dataOnly="0" labelOnly="1" outline="0" fieldPosition="0">
        <references count="1">
          <reference field="0" count="0"/>
        </references>
      </pivotArea>
    </format>
    <format dxfId="69">
      <pivotArea dataOnly="0" labelOnly="1" outline="0" axis="axisValues" fieldPosition="0"/>
    </format>
  </format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7">
        <x15:activeTabTopLevelEntity name="[Table7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CB794-FB3B-4242-B8AC-4AAEFDC4AA99}" name="PivotTable1" cacheId="834" applyNumberFormats="0" applyBorderFormats="0" applyFontFormats="0" applyPatternFormats="0" applyAlignmentFormats="0" applyWidthHeightFormats="1" dataCaption="Values" tag="472286b4-9646-445e-926a-9401938b773d" updatedVersion="8" minRefreshableVersion="3" subtotalHiddenItems="1" rowGrandTotals="0" colGrandTotals="0" itemPrintTitles="1" createdVersion="8" indent="0" compact="0" compactData="0" multipleFieldFilters="0" chartFormat="41">
  <location ref="A1:D8" firstHeaderRow="0" firstDataRow="1" firstDataCol="1"/>
  <pivotFields count="4">
    <pivotField axis="axisRow" compact="0" allDrilled="1" outline="0" subtotalTop="0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ubtotalTop="0" showAll="0"/>
    <pivotField dataField="1" compact="0" outline="0" subtotalTop="0" showAll="0"/>
    <pivotField dataField="1" compact="0" outline="0" subtotalTop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oans" fld="1" baseField="0" baseItem="0"/>
    <dataField name="Defaults" fld="2" baseField="0" baseItem="0"/>
    <dataField name="Default Rate" fld="3" baseField="0" baseItem="0"/>
  </dataFields>
  <formats count="5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0" type="button" dataOnly="0" labelOnly="1" outline="0" axis="axisRow" fieldPosition="0"/>
    </format>
    <format dxfId="75">
      <pivotArea dataOnly="0" labelOnly="1" outline="0" fieldPosition="0">
        <references count="1">
          <reference field="0" count="0"/>
        </references>
      </pivotArea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2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Loans"/>
    <pivotHierarchy dragToData="1" caption="Defaults"/>
    <pivotHierarchy dragToData="1" caption="Default Rate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E2C65-AB6A-4EE4-B8B4-0F543FE10015}" name="PivotTable2" cacheId="816" applyNumberFormats="0" applyBorderFormats="0" applyFontFormats="0" applyPatternFormats="0" applyAlignmentFormats="0" applyWidthHeightFormats="1" dataCaption="Values" tag="f1c767f4-b82a-48a4-be9f-40a539b8a230" updatedVersion="8" minRefreshableVersion="3" useAutoFormatting="1" subtotalHiddenItems="1" rowGrandTotals="0" colGrandTotals="0" itemPrintTitles="1" createdVersion="8" indent="0" compact="0" compactData="0" multipleFieldFilters="0" chartFormat="8">
  <location ref="Q1:R15" firstHeaderRow="1" firstDataRow="1" firstDataCol="1"/>
  <pivotFields count="2">
    <pivotField axis="axisRow" compact="0" allDrilled="1" outline="0" subtotalTop="0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ubtotalTop="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Default Rate" fld="1" baseField="0" baseItem="0"/>
  </dataFields>
  <formats count="5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outline="0" fieldPosition="0">
        <references count="1">
          <reference field="0" count="0"/>
        </references>
      </pivotArea>
    </format>
    <format dxfId="41">
      <pivotArea dataOnly="0" labelOnly="1" outline="0" axis="axisValues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an_Data_Projec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B5BFC-4871-44DE-914D-B0DFE236DE09}" name="Table2" displayName="Table2" ref="A12:E26" totalsRowShown="0">
  <autoFilter ref="A12:E26" xr:uid="{39EB5BFC-4871-44DE-914D-B0DFE236DE09}"/>
  <tableColumns count="5">
    <tableColumn id="1" xr3:uid="{A0889581-ECBD-439A-A00F-CAD808FD35EF}" name="purpose"/>
    <tableColumn id="2" xr3:uid="{ED72ED9D-21EC-4B53-9D4D-982F7A37A006}" name="loans"/>
    <tableColumn id="3" xr3:uid="{86857639-B77A-479E-B420-BD513EAA19B8}" name="defaults"/>
    <tableColumn id="4" xr3:uid="{5E9B9690-4D03-41AF-BD89-F98CB9F7DE97}" name="default_rate"/>
    <tableColumn id="5" xr3:uid="{F156D750-4D08-49E5-BBBE-B9771C0FBA62}" name="avg_loan_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CA068E-1981-4B39-9BDE-1EBB430E33CC}" name="Table13" displayName="Table13" ref="A1:G8" totalsRowShown="0">
  <autoFilter ref="A1:G8" xr:uid="{0ACA068E-1981-4B39-9BDE-1EBB430E33CC}"/>
  <tableColumns count="7">
    <tableColumn id="1" xr3:uid="{50387E97-7651-44F2-B9BF-7E406C0E88A8}" name="grade"/>
    <tableColumn id="2" xr3:uid="{D318ED7C-07F5-49F3-B9FB-4734893BE395}" name="total_loans"/>
    <tableColumn id="3" xr3:uid="{E5C6EB2E-0B50-4188-8C3B-297C5CB0564B}" name="defaults"/>
    <tableColumn id="4" xr3:uid="{92A10BB1-784D-4FA7-A91A-99D6960A202D}" name="default_rate_pct"/>
    <tableColumn id="5" xr3:uid="{86D9F27B-3392-40F2-A162-C6387848F20F}" name="avg_interest_rate"/>
    <tableColumn id="6" xr3:uid="{65AD979D-22C8-48A7-8C28-2BFC097F241B}" name="avg_loan_amount"/>
    <tableColumn id="7" xr3:uid="{5B3E03DF-A68D-41F8-8E3A-159621C8DCAB}" name="avg_borrower_inco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0CF296-C838-48E1-B6BD-0772999249C6}" name="Table7" displayName="Table7" ref="A2:F8" totalsRowShown="0">
  <autoFilter ref="A2:F8" xr:uid="{CF0CF296-C838-48E1-B6BD-0772999249C6}"/>
  <tableColumns count="6">
    <tableColumn id="1" xr3:uid="{A3E7A42D-9D09-499A-B2AB-A9107474FE99}" name="Category"/>
    <tableColumn id="2" xr3:uid="{A1B8811B-6FF9-4203-BF4F-6BD5A2476851}" name="Loans"/>
    <tableColumn id="3" xr3:uid="{1E343678-733C-4633-95EA-1BCFA298C70D}" name="Defaults"/>
    <tableColumn id="4" xr3:uid="{FF75BB14-0107-462C-81F0-BBBDCD590E6A}" name="Default Rate"/>
    <tableColumn id="5" xr3:uid="{E8CC800E-71C3-46E7-907F-1015BBB7033D}" name="Column5"/>
    <tableColumn id="6" xr3:uid="{D03B678C-F6B2-48E2-B89A-7D2BF46A2A2D}" name="Column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400174-D4A5-4240-81F1-6FD8EDAD1AC5}" name="Table9" displayName="Table9" ref="A1:E6" totalsRowShown="0">
  <autoFilter ref="A1:E6" xr:uid="{14400174-D4A5-4240-81F1-6FD8EDAD1AC5}"/>
  <tableColumns count="5">
    <tableColumn id="1" xr3:uid="{D4477127-533E-476B-B462-92835D6B38D6}" name="dti_bucket"/>
    <tableColumn id="2" xr3:uid="{FE5CD5DA-AC92-4CCF-A38D-4E34F8FBD7DD}" name="loans"/>
    <tableColumn id="3" xr3:uid="{72ED5219-1C44-4A33-909C-6B26448D9F03}" name="defaults"/>
    <tableColumn id="4" xr3:uid="{2B2BAD84-B8AB-4B27-B45F-B4A76CFE24BB}" name="default_rate"/>
    <tableColumn id="5" xr3:uid="{28BD45FC-FDF9-4D05-BFB0-30ABF0A48EB8}" name="avg_int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D15CEA5-E4EB-48E8-8139-69F7B14A02B9}" name="Table10" displayName="Table10" ref="A1:G13" totalsRowShown="0">
  <autoFilter ref="A1:G13" xr:uid="{4D15CEA5-E4EB-48E8-8139-69F7B14A02B9}"/>
  <tableColumns count="7">
    <tableColumn id="1" xr3:uid="{624332D8-5D94-4353-AAED-72F4ACBFA8A9}" name="loan_year"/>
    <tableColumn id="2" xr3:uid="{E536F7D5-8DB1-438A-9121-9F25AA57AC04}" name="loans_issued"/>
    <tableColumn id="3" xr3:uid="{F292C42E-B37A-42D9-88ED-2739583E5C27}" name="defaults"/>
    <tableColumn id="4" xr3:uid="{91FE8978-1BBA-4DA1-A9F3-BAA6DDB750F5}" name="default_rate"/>
    <tableColumn id="5" xr3:uid="{96BAD2CC-21B6-4CFC-B356-6F79F2A3FC79}" name="avg_loan_size"/>
    <tableColumn id="6" xr3:uid="{CA3C004E-FF47-44C5-A054-CF1F1C52134F}" name="avg_interest"/>
    <tableColumn id="7" xr3:uid="{6392AF77-E28D-4C6B-8E6E-CB1F649A64F4}" name="total_disbursed_mill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49C961-9004-4BC3-BC31-3B0F84DE4790}" name="Table11" displayName="Table11" ref="A1:F5" totalsRowShown="0">
  <autoFilter ref="A1:F5" xr:uid="{AF49C961-9004-4BC3-BC31-3B0F84DE4790}"/>
  <tableColumns count="6">
    <tableColumn id="1" xr3:uid="{19AC7C12-524E-49CC-949B-090580915938}" name="risk_segment"/>
    <tableColumn id="2" xr3:uid="{FC24C958-08FD-4450-8981-73EB6E95E90C}" name="loans"/>
    <tableColumn id="3" xr3:uid="{8817AB19-D730-4206-AA9A-694B252310E4}" name="defaults"/>
    <tableColumn id="4" xr3:uid="{A8AAAFC3-010F-4CDE-A2DF-16028E6FC4C4}" name="default_rate"/>
    <tableColumn id="5" xr3:uid="{87301ECC-D3F1-4D8C-ACBB-747354C70867}" name="avg_int_rate"/>
    <tableColumn id="6" xr3:uid="{AA980CB7-0F61-487C-A325-47444E4E0370}" name="avg_loan_am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34C836B-1D67-43C1-A91B-AEB42336C62F}" name="Table12" displayName="Table12" ref="A1:E11" totalsRowShown="0">
  <autoFilter ref="A1:E11" xr:uid="{B34C836B-1D67-43C1-A91B-AEB42336C62F}"/>
  <tableColumns count="5">
    <tableColumn id="1" xr3:uid="{2779F090-EEEB-43F2-89C7-37191024EAF8}" name="addr_state"/>
    <tableColumn id="2" xr3:uid="{D2D46FD7-0133-4D21-9EE9-EC7CCEB17D77}" name="loans"/>
    <tableColumn id="3" xr3:uid="{55DC513B-9AE3-44BF-A645-D4CAE620E436}" name="defaults"/>
    <tableColumn id="4" xr3:uid="{AA10A711-6E94-4CA3-A489-A6CCC8DE6DF6}" name="default_rate"/>
    <tableColumn id="5" xr3:uid="{FCB3DD26-7AD6-4E2C-852B-048B5B3D1341}" name="avg_in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8227-B104-4AF9-80C9-70A60CA504B1}">
  <dimension ref="A1:G26"/>
  <sheetViews>
    <sheetView topLeftCell="A6" zoomScale="70" zoomScaleNormal="70" workbookViewId="0">
      <selection activeCell="G30" sqref="G30"/>
    </sheetView>
  </sheetViews>
  <sheetFormatPr defaultRowHeight="14.5" x14ac:dyDescent="0.35"/>
  <cols>
    <col min="1" max="1" width="14.90625" customWidth="1"/>
    <col min="2" max="2" width="15.81640625" customWidth="1"/>
    <col min="3" max="3" width="9.81640625" customWidth="1"/>
    <col min="4" max="5" width="17.6328125" customWidth="1"/>
    <col min="6" max="6" width="17.90625" customWidth="1"/>
    <col min="7" max="7" width="21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432362</v>
      </c>
      <c r="C2">
        <v>15083</v>
      </c>
      <c r="D2">
        <v>3.49</v>
      </c>
      <c r="E2">
        <v>7.08</v>
      </c>
      <c r="F2">
        <v>14594.68</v>
      </c>
      <c r="G2">
        <v>90028.96</v>
      </c>
    </row>
    <row r="3" spans="1:7" x14ac:dyDescent="0.35">
      <c r="A3" t="s">
        <v>8</v>
      </c>
      <c r="B3">
        <v>662451</v>
      </c>
      <c r="C3">
        <v>55892</v>
      </c>
      <c r="D3">
        <v>8.44</v>
      </c>
      <c r="E3">
        <v>10.68</v>
      </c>
      <c r="F3">
        <v>14163.53</v>
      </c>
      <c r="G3">
        <v>78933.22</v>
      </c>
    </row>
    <row r="4" spans="1:7" x14ac:dyDescent="0.35">
      <c r="A4" t="s">
        <v>9</v>
      </c>
      <c r="B4">
        <v>648743</v>
      </c>
      <c r="C4">
        <v>90962</v>
      </c>
      <c r="D4">
        <v>14.02</v>
      </c>
      <c r="E4">
        <v>14.14</v>
      </c>
      <c r="F4">
        <v>15027.73</v>
      </c>
      <c r="G4">
        <v>74506.350000000006</v>
      </c>
    </row>
    <row r="5" spans="1:7" x14ac:dyDescent="0.35">
      <c r="A5" t="s">
        <v>10</v>
      </c>
      <c r="B5">
        <v>323627</v>
      </c>
      <c r="C5">
        <v>64560</v>
      </c>
      <c r="D5">
        <v>19.95</v>
      </c>
      <c r="E5">
        <v>18.14</v>
      </c>
      <c r="F5">
        <v>15704.31</v>
      </c>
      <c r="G5">
        <v>71188.850000000006</v>
      </c>
    </row>
    <row r="6" spans="1:7" x14ac:dyDescent="0.35">
      <c r="A6" t="s">
        <v>11</v>
      </c>
      <c r="B6">
        <v>135345</v>
      </c>
      <c r="C6">
        <v>37716</v>
      </c>
      <c r="D6">
        <v>27.87</v>
      </c>
      <c r="E6">
        <v>21.82</v>
      </c>
      <c r="F6">
        <v>17448.46</v>
      </c>
      <c r="G6">
        <v>71995.210000000006</v>
      </c>
    </row>
    <row r="7" spans="1:7" x14ac:dyDescent="0.35">
      <c r="A7" t="s">
        <v>12</v>
      </c>
      <c r="B7">
        <v>41731</v>
      </c>
      <c r="C7">
        <v>15064</v>
      </c>
      <c r="D7">
        <v>36.1</v>
      </c>
      <c r="E7">
        <v>25.45</v>
      </c>
      <c r="F7">
        <v>19120.79</v>
      </c>
      <c r="G7">
        <v>72765.94</v>
      </c>
    </row>
    <row r="8" spans="1:7" x14ac:dyDescent="0.35">
      <c r="A8" t="s">
        <v>13</v>
      </c>
      <c r="B8">
        <v>12119</v>
      </c>
      <c r="C8">
        <v>4799</v>
      </c>
      <c r="D8">
        <v>39.6</v>
      </c>
      <c r="E8">
        <v>28.06</v>
      </c>
      <c r="F8">
        <v>20370.189999999999</v>
      </c>
      <c r="G8">
        <v>75512.27</v>
      </c>
    </row>
    <row r="12" spans="1:7" x14ac:dyDescent="0.35">
      <c r="A12" t="s">
        <v>14</v>
      </c>
      <c r="B12" t="s">
        <v>15</v>
      </c>
      <c r="C12" t="s">
        <v>2</v>
      </c>
      <c r="D12" t="s">
        <v>16</v>
      </c>
      <c r="E12" t="s">
        <v>17</v>
      </c>
    </row>
    <row r="13" spans="1:7" x14ac:dyDescent="0.35">
      <c r="A13" t="s">
        <v>18</v>
      </c>
      <c r="B13">
        <v>424</v>
      </c>
      <c r="C13">
        <v>88</v>
      </c>
      <c r="D13">
        <v>20.75</v>
      </c>
      <c r="E13">
        <v>6614.62</v>
      </c>
    </row>
    <row r="14" spans="1:7" x14ac:dyDescent="0.35">
      <c r="A14" t="s">
        <v>19</v>
      </c>
      <c r="B14">
        <v>24657</v>
      </c>
      <c r="C14">
        <v>4887</v>
      </c>
      <c r="D14">
        <v>19.82</v>
      </c>
      <c r="E14">
        <v>16439.47</v>
      </c>
    </row>
    <row r="15" spans="1:7" x14ac:dyDescent="0.35">
      <c r="A15" t="s">
        <v>20</v>
      </c>
      <c r="B15">
        <v>1444</v>
      </c>
      <c r="C15">
        <v>232</v>
      </c>
      <c r="D15">
        <v>16.07</v>
      </c>
      <c r="E15">
        <v>10754.09</v>
      </c>
    </row>
    <row r="16" spans="1:7" x14ac:dyDescent="0.35">
      <c r="A16" t="s">
        <v>21</v>
      </c>
      <c r="B16">
        <v>15347</v>
      </c>
      <c r="C16">
        <v>2350</v>
      </c>
      <c r="D16">
        <v>15.31</v>
      </c>
      <c r="E16">
        <v>8373.7999999999993</v>
      </c>
    </row>
    <row r="17" spans="1:5" x14ac:dyDescent="0.35">
      <c r="A17" t="s">
        <v>22</v>
      </c>
      <c r="B17">
        <v>1275370</v>
      </c>
      <c r="C17">
        <v>173803</v>
      </c>
      <c r="D17">
        <v>13.63</v>
      </c>
      <c r="E17">
        <v>15956.74</v>
      </c>
    </row>
    <row r="18" spans="1:5" x14ac:dyDescent="0.35">
      <c r="A18" t="s">
        <v>23</v>
      </c>
      <c r="B18">
        <v>27425</v>
      </c>
      <c r="C18">
        <v>3628</v>
      </c>
      <c r="D18">
        <v>13.23</v>
      </c>
      <c r="E18">
        <v>9468.9500000000007</v>
      </c>
    </row>
    <row r="19" spans="1:5" x14ac:dyDescent="0.35">
      <c r="A19" t="s">
        <v>24</v>
      </c>
      <c r="B19">
        <v>139171</v>
      </c>
      <c r="C19">
        <v>17645</v>
      </c>
      <c r="D19">
        <v>12.68</v>
      </c>
      <c r="E19">
        <v>10476.370000000001</v>
      </c>
    </row>
    <row r="20" spans="1:5" x14ac:dyDescent="0.35">
      <c r="A20" t="s">
        <v>25</v>
      </c>
      <c r="B20">
        <v>2355</v>
      </c>
      <c r="C20">
        <v>292</v>
      </c>
      <c r="D20">
        <v>12.4</v>
      </c>
      <c r="E20">
        <v>10475.86</v>
      </c>
    </row>
    <row r="21" spans="1:5" x14ac:dyDescent="0.35">
      <c r="A21" t="s">
        <v>26</v>
      </c>
      <c r="B21">
        <v>14109</v>
      </c>
      <c r="C21">
        <v>1735</v>
      </c>
      <c r="D21">
        <v>12.3</v>
      </c>
      <c r="E21">
        <v>15693.36</v>
      </c>
    </row>
    <row r="22" spans="1:5" x14ac:dyDescent="0.35">
      <c r="A22" t="s">
        <v>27</v>
      </c>
      <c r="B22">
        <v>15501</v>
      </c>
      <c r="C22">
        <v>1858</v>
      </c>
      <c r="D22">
        <v>11.99</v>
      </c>
      <c r="E22">
        <v>6356.26</v>
      </c>
    </row>
    <row r="23" spans="1:5" x14ac:dyDescent="0.35">
      <c r="A23" t="s">
        <v>28</v>
      </c>
      <c r="B23">
        <v>50367</v>
      </c>
      <c r="C23">
        <v>5904</v>
      </c>
      <c r="D23">
        <v>11.72</v>
      </c>
      <c r="E23">
        <v>12679.35</v>
      </c>
    </row>
    <row r="24" spans="1:5" x14ac:dyDescent="0.35">
      <c r="A24" t="s">
        <v>29</v>
      </c>
      <c r="B24">
        <v>150125</v>
      </c>
      <c r="C24">
        <v>16596</v>
      </c>
      <c r="D24">
        <v>11.05</v>
      </c>
      <c r="E24">
        <v>14657.46</v>
      </c>
    </row>
    <row r="25" spans="1:5" x14ac:dyDescent="0.35">
      <c r="A25" t="s">
        <v>30</v>
      </c>
      <c r="B25">
        <v>516091</v>
      </c>
      <c r="C25">
        <v>52770</v>
      </c>
      <c r="D25">
        <v>10.220000000000001</v>
      </c>
      <c r="E25">
        <v>15309.28</v>
      </c>
    </row>
    <row r="26" spans="1:5" x14ac:dyDescent="0.35">
      <c r="A26" t="s">
        <v>31</v>
      </c>
      <c r="B26">
        <v>23992</v>
      </c>
      <c r="C26">
        <v>2288</v>
      </c>
      <c r="D26">
        <v>9.5399999999999991</v>
      </c>
      <c r="E26">
        <v>9393.34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167D-F788-409B-8780-EA137FE30083}">
  <dimension ref="A1:O8"/>
  <sheetViews>
    <sheetView topLeftCell="A2" workbookViewId="0">
      <selection activeCell="J2" sqref="J2:O7"/>
    </sheetView>
  </sheetViews>
  <sheetFormatPr defaultRowHeight="14.5" x14ac:dyDescent="0.35"/>
  <cols>
    <col min="1" max="1" width="14.7265625" customWidth="1"/>
    <col min="2" max="6" width="10.26953125" customWidth="1"/>
    <col min="10" max="10" width="30.90625" customWidth="1"/>
    <col min="11" max="15" width="10.26953125" customWidth="1"/>
  </cols>
  <sheetData>
    <row r="1" spans="1:15" x14ac:dyDescent="0.35">
      <c r="A1" t="s">
        <v>33</v>
      </c>
      <c r="B1" t="s">
        <v>15</v>
      </c>
      <c r="C1" t="s">
        <v>2</v>
      </c>
      <c r="D1" t="s">
        <v>16</v>
      </c>
      <c r="E1" t="s">
        <v>34</v>
      </c>
      <c r="F1" t="s">
        <v>35</v>
      </c>
      <c r="J1" t="s">
        <v>42</v>
      </c>
      <c r="K1" t="s">
        <v>15</v>
      </c>
      <c r="L1" t="s">
        <v>2</v>
      </c>
      <c r="M1" t="s">
        <v>16</v>
      </c>
      <c r="N1" t="s">
        <v>35</v>
      </c>
      <c r="O1" t="s">
        <v>43</v>
      </c>
    </row>
    <row r="2" spans="1:15" x14ac:dyDescent="0.35">
      <c r="A2" t="s">
        <v>74</v>
      </c>
      <c r="B2" t="s">
        <v>75</v>
      </c>
      <c r="C2" t="s">
        <v>71</v>
      </c>
      <c r="D2" t="s">
        <v>76</v>
      </c>
      <c r="E2" t="s">
        <v>72</v>
      </c>
      <c r="F2" t="s">
        <v>73</v>
      </c>
    </row>
    <row r="3" spans="1:15" x14ac:dyDescent="0.35">
      <c r="A3" t="s">
        <v>36</v>
      </c>
      <c r="B3">
        <v>182</v>
      </c>
      <c r="C3">
        <v>38</v>
      </c>
      <c r="D3">
        <v>20.88</v>
      </c>
      <c r="E3">
        <v>66667.02</v>
      </c>
      <c r="F3">
        <v>10810.16</v>
      </c>
    </row>
    <row r="4" spans="1:15" x14ac:dyDescent="0.35">
      <c r="A4" t="s">
        <v>37</v>
      </c>
      <c r="B4">
        <v>49</v>
      </c>
      <c r="C4">
        <v>8</v>
      </c>
      <c r="D4">
        <v>16.329999999999998</v>
      </c>
      <c r="E4">
        <v>63101.04</v>
      </c>
      <c r="F4">
        <v>14179.08</v>
      </c>
    </row>
    <row r="5" spans="1:15" x14ac:dyDescent="0.35">
      <c r="A5" t="s">
        <v>38</v>
      </c>
      <c r="B5">
        <v>893773</v>
      </c>
      <c r="C5">
        <v>130939</v>
      </c>
      <c r="D5">
        <v>14.65</v>
      </c>
      <c r="E5">
        <v>66710.960000000006</v>
      </c>
      <c r="F5">
        <v>13190.75</v>
      </c>
    </row>
    <row r="6" spans="1:15" x14ac:dyDescent="0.35">
      <c r="A6" t="s">
        <v>39</v>
      </c>
      <c r="B6">
        <v>252671</v>
      </c>
      <c r="C6">
        <v>31768</v>
      </c>
      <c r="D6">
        <v>12.57</v>
      </c>
      <c r="E6">
        <v>72817.84</v>
      </c>
      <c r="F6">
        <v>14365.48</v>
      </c>
    </row>
    <row r="7" spans="1:15" x14ac:dyDescent="0.35">
      <c r="A7" t="s">
        <v>40</v>
      </c>
      <c r="B7">
        <v>1108707</v>
      </c>
      <c r="C7">
        <v>121258</v>
      </c>
      <c r="D7">
        <v>10.94</v>
      </c>
      <c r="E7">
        <v>88549.57</v>
      </c>
      <c r="F7">
        <v>16681.990000000002</v>
      </c>
    </row>
    <row r="8" spans="1:15" x14ac:dyDescent="0.35">
      <c r="A8" t="s">
        <v>41</v>
      </c>
      <c r="B8">
        <v>996</v>
      </c>
      <c r="C8">
        <v>65</v>
      </c>
      <c r="D8">
        <v>6.53</v>
      </c>
      <c r="E8">
        <v>70633.98</v>
      </c>
      <c r="F8">
        <v>13347.74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9C77-B44D-4629-B486-B8880813771C}">
  <dimension ref="A1:E6"/>
  <sheetViews>
    <sheetView workbookViewId="0">
      <selection activeCell="A7" sqref="A7"/>
    </sheetView>
  </sheetViews>
  <sheetFormatPr defaultRowHeight="14.5" x14ac:dyDescent="0.35"/>
  <cols>
    <col min="1" max="1" width="22.6328125" customWidth="1"/>
    <col min="3" max="3" width="9.6328125" customWidth="1"/>
    <col min="4" max="4" width="13.26953125" customWidth="1"/>
    <col min="5" max="5" width="13.36328125" customWidth="1"/>
  </cols>
  <sheetData>
    <row r="1" spans="1:5" x14ac:dyDescent="0.35">
      <c r="A1" t="s">
        <v>44</v>
      </c>
      <c r="B1" t="s">
        <v>15</v>
      </c>
      <c r="C1" t="s">
        <v>2</v>
      </c>
      <c r="D1" t="s">
        <v>16</v>
      </c>
      <c r="E1" t="s">
        <v>45</v>
      </c>
    </row>
    <row r="2" spans="1:5" x14ac:dyDescent="0.35">
      <c r="A2" t="s">
        <v>78</v>
      </c>
      <c r="B2">
        <v>406112</v>
      </c>
      <c r="C2">
        <v>39187</v>
      </c>
      <c r="D2">
        <v>9.65</v>
      </c>
      <c r="E2">
        <v>12.06</v>
      </c>
    </row>
    <row r="3" spans="1:5" x14ac:dyDescent="0.35">
      <c r="A3" t="s">
        <v>79</v>
      </c>
      <c r="B3">
        <v>922306</v>
      </c>
      <c r="C3">
        <v>106192</v>
      </c>
      <c r="D3">
        <v>11.51</v>
      </c>
      <c r="E3">
        <v>12.63</v>
      </c>
    </row>
    <row r="4" spans="1:5" x14ac:dyDescent="0.35">
      <c r="A4" t="s">
        <v>80</v>
      </c>
      <c r="B4">
        <v>682770</v>
      </c>
      <c r="C4">
        <v>99005</v>
      </c>
      <c r="D4">
        <v>14.5</v>
      </c>
      <c r="E4">
        <v>13.61</v>
      </c>
    </row>
    <row r="5" spans="1:5" x14ac:dyDescent="0.35">
      <c r="A5" t="s">
        <v>81</v>
      </c>
      <c r="B5">
        <v>218834</v>
      </c>
      <c r="C5">
        <v>37234</v>
      </c>
      <c r="D5">
        <v>17.010000000000002</v>
      </c>
      <c r="E5">
        <v>15.09</v>
      </c>
    </row>
    <row r="6" spans="1:5" x14ac:dyDescent="0.35">
      <c r="A6" t="s">
        <v>82</v>
      </c>
      <c r="B6">
        <v>24630</v>
      </c>
      <c r="C6">
        <v>2260</v>
      </c>
      <c r="D6">
        <v>9.18</v>
      </c>
      <c r="E6">
        <v>15.28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1644-1476-4C11-88B9-1AA7FB430306}">
  <dimension ref="A1:G13"/>
  <sheetViews>
    <sheetView workbookViewId="0">
      <selection activeCell="A2" sqref="A2:G13"/>
    </sheetView>
  </sheetViews>
  <sheetFormatPr defaultRowHeight="14.5" x14ac:dyDescent="0.35"/>
  <cols>
    <col min="1" max="1" width="11.08984375" customWidth="1"/>
    <col min="2" max="2" width="13.54296875" customWidth="1"/>
    <col min="3" max="3" width="9.6328125" customWidth="1"/>
    <col min="4" max="4" width="13.26953125" customWidth="1"/>
    <col min="5" max="5" width="14.36328125" customWidth="1"/>
    <col min="6" max="6" width="13.1796875" customWidth="1"/>
    <col min="7" max="7" width="23.453125" customWidth="1"/>
  </cols>
  <sheetData>
    <row r="1" spans="1:7" x14ac:dyDescent="0.35">
      <c r="A1" t="s">
        <v>46</v>
      </c>
      <c r="B1" t="s">
        <v>47</v>
      </c>
      <c r="C1" t="s">
        <v>2</v>
      </c>
      <c r="D1" t="s">
        <v>16</v>
      </c>
      <c r="E1" t="s">
        <v>17</v>
      </c>
      <c r="F1" t="s">
        <v>32</v>
      </c>
      <c r="G1" t="s">
        <v>48</v>
      </c>
    </row>
    <row r="2" spans="1:7" x14ac:dyDescent="0.35">
      <c r="A2">
        <v>2007</v>
      </c>
      <c r="B2">
        <v>599</v>
      </c>
      <c r="C2">
        <v>158</v>
      </c>
      <c r="D2">
        <v>26.38</v>
      </c>
      <c r="E2">
        <v>8267.57</v>
      </c>
      <c r="F2">
        <v>11.85</v>
      </c>
      <c r="G2">
        <v>4.9522750000000002</v>
      </c>
    </row>
    <row r="3" spans="1:7" x14ac:dyDescent="0.35">
      <c r="A3">
        <v>2008</v>
      </c>
      <c r="B3">
        <v>2393</v>
      </c>
      <c r="C3">
        <v>496</v>
      </c>
      <c r="D3">
        <v>20.73</v>
      </c>
      <c r="E3">
        <v>8825.43</v>
      </c>
      <c r="F3">
        <v>12.06</v>
      </c>
      <c r="G3">
        <v>21.119250000000001</v>
      </c>
    </row>
    <row r="4" spans="1:7" x14ac:dyDescent="0.35">
      <c r="A4">
        <v>2009</v>
      </c>
      <c r="B4">
        <v>5281</v>
      </c>
      <c r="C4">
        <v>723</v>
      </c>
      <c r="D4">
        <v>13.69</v>
      </c>
      <c r="E4">
        <v>9833.0300000000007</v>
      </c>
      <c r="F4">
        <v>12.44</v>
      </c>
      <c r="G4">
        <v>51.928249999999998</v>
      </c>
    </row>
    <row r="5" spans="1:7" x14ac:dyDescent="0.35">
      <c r="A5">
        <v>2010</v>
      </c>
      <c r="B5">
        <v>12537</v>
      </c>
      <c r="C5">
        <v>1757</v>
      </c>
      <c r="D5">
        <v>14.01</v>
      </c>
      <c r="E5">
        <v>10528.24</v>
      </c>
      <c r="F5">
        <v>11.99</v>
      </c>
      <c r="G5">
        <v>131.99254999999999</v>
      </c>
    </row>
    <row r="6" spans="1:7" x14ac:dyDescent="0.35">
      <c r="A6">
        <v>2011</v>
      </c>
      <c r="B6">
        <v>21721</v>
      </c>
      <c r="C6">
        <v>3297</v>
      </c>
      <c r="D6">
        <v>15.18</v>
      </c>
      <c r="E6">
        <v>12047.5</v>
      </c>
      <c r="F6">
        <v>12.22</v>
      </c>
      <c r="G6">
        <v>261.68382500000001</v>
      </c>
    </row>
    <row r="7" spans="1:7" x14ac:dyDescent="0.35">
      <c r="A7">
        <v>2012</v>
      </c>
      <c r="B7">
        <v>53367</v>
      </c>
      <c r="C7">
        <v>8644</v>
      </c>
      <c r="D7">
        <v>16.2</v>
      </c>
      <c r="E7">
        <v>13461.71</v>
      </c>
      <c r="F7">
        <v>13.64</v>
      </c>
      <c r="G7">
        <v>718.411025</v>
      </c>
    </row>
    <row r="8" spans="1:7" x14ac:dyDescent="0.35">
      <c r="A8">
        <v>2013</v>
      </c>
      <c r="B8">
        <v>134814</v>
      </c>
      <c r="C8">
        <v>21030</v>
      </c>
      <c r="D8">
        <v>15.6</v>
      </c>
      <c r="E8">
        <v>14707.41</v>
      </c>
      <c r="F8">
        <v>14.53</v>
      </c>
      <c r="G8">
        <v>1982.765275</v>
      </c>
    </row>
    <row r="9" spans="1:7" x14ac:dyDescent="0.35">
      <c r="A9">
        <v>2014</v>
      </c>
      <c r="B9">
        <v>235629</v>
      </c>
      <c r="C9">
        <v>41408</v>
      </c>
      <c r="D9">
        <v>17.57</v>
      </c>
      <c r="E9">
        <v>14870.16</v>
      </c>
      <c r="F9">
        <v>13.77</v>
      </c>
      <c r="G9">
        <v>3503.8401749999998</v>
      </c>
    </row>
    <row r="10" spans="1:7" x14ac:dyDescent="0.35">
      <c r="A10">
        <v>2015</v>
      </c>
      <c r="B10">
        <v>421084</v>
      </c>
      <c r="C10">
        <v>76850</v>
      </c>
      <c r="D10">
        <v>18.25</v>
      </c>
      <c r="E10">
        <v>15240.31</v>
      </c>
      <c r="F10">
        <v>12.6</v>
      </c>
      <c r="G10">
        <v>6417.4519250000003</v>
      </c>
    </row>
    <row r="11" spans="1:7" x14ac:dyDescent="0.35">
      <c r="A11">
        <v>2016</v>
      </c>
      <c r="B11">
        <v>434217</v>
      </c>
      <c r="C11">
        <v>71628</v>
      </c>
      <c r="D11">
        <v>16.5</v>
      </c>
      <c r="E11">
        <v>14732.17</v>
      </c>
      <c r="F11">
        <v>13.04</v>
      </c>
      <c r="G11">
        <v>6396.9569499999998</v>
      </c>
    </row>
    <row r="12" spans="1:7" x14ac:dyDescent="0.35">
      <c r="A12">
        <v>2017</v>
      </c>
      <c r="B12">
        <v>442213</v>
      </c>
      <c r="C12">
        <v>44709</v>
      </c>
      <c r="D12">
        <v>10.11</v>
      </c>
      <c r="E12">
        <v>14830.66</v>
      </c>
      <c r="F12">
        <v>13.24</v>
      </c>
      <c r="G12">
        <v>6558.3091000000004</v>
      </c>
    </row>
    <row r="13" spans="1:7" x14ac:dyDescent="0.35">
      <c r="A13">
        <v>2018</v>
      </c>
      <c r="B13">
        <v>492523</v>
      </c>
      <c r="C13">
        <v>13376</v>
      </c>
      <c r="D13">
        <v>2.72</v>
      </c>
      <c r="E13">
        <v>16001.8</v>
      </c>
      <c r="F13">
        <v>12.72</v>
      </c>
      <c r="G13">
        <v>7881.2533249999997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E233-FED2-4F6D-A524-B033A5AB9FE3}">
  <dimension ref="A1:F5"/>
  <sheetViews>
    <sheetView workbookViewId="0">
      <selection activeCell="A5" sqref="A5"/>
    </sheetView>
  </sheetViews>
  <sheetFormatPr defaultRowHeight="14.5" x14ac:dyDescent="0.35"/>
  <cols>
    <col min="1" max="1" width="14" customWidth="1"/>
    <col min="3" max="3" width="9.6328125" customWidth="1"/>
    <col min="4" max="4" width="13.26953125" customWidth="1"/>
    <col min="5" max="5" width="13.36328125" customWidth="1"/>
    <col min="6" max="6" width="14.6328125" customWidth="1"/>
  </cols>
  <sheetData>
    <row r="1" spans="1:6" x14ac:dyDescent="0.35">
      <c r="A1" t="s">
        <v>49</v>
      </c>
      <c r="B1" t="s">
        <v>15</v>
      </c>
      <c r="C1" t="s">
        <v>2</v>
      </c>
      <c r="D1" t="s">
        <v>16</v>
      </c>
      <c r="E1" t="s">
        <v>45</v>
      </c>
      <c r="F1" t="s">
        <v>35</v>
      </c>
    </row>
    <row r="2" spans="1:6" x14ac:dyDescent="0.35">
      <c r="A2" t="s">
        <v>84</v>
      </c>
      <c r="B2">
        <v>450915</v>
      </c>
      <c r="C2">
        <v>24001</v>
      </c>
      <c r="D2">
        <v>5.32</v>
      </c>
      <c r="E2">
        <v>8.9700000000000006</v>
      </c>
      <c r="F2">
        <v>15331.95</v>
      </c>
    </row>
    <row r="3" spans="1:6" x14ac:dyDescent="0.35">
      <c r="A3" t="s">
        <v>85</v>
      </c>
      <c r="B3">
        <v>1337335</v>
      </c>
      <c r="C3">
        <v>199586</v>
      </c>
      <c r="D3">
        <v>14.92</v>
      </c>
      <c r="E3">
        <v>14.51</v>
      </c>
      <c r="F3">
        <v>15218.43</v>
      </c>
    </row>
    <row r="4" spans="1:6" x14ac:dyDescent="0.35">
      <c r="A4" t="s">
        <v>86</v>
      </c>
      <c r="B4">
        <v>197434</v>
      </c>
      <c r="C4">
        <v>41582</v>
      </c>
      <c r="D4">
        <v>21.06</v>
      </c>
      <c r="E4">
        <v>18.010000000000002</v>
      </c>
      <c r="F4">
        <v>16697.39</v>
      </c>
    </row>
    <row r="5" spans="1:6" x14ac:dyDescent="0.35">
      <c r="A5" t="s">
        <v>87</v>
      </c>
      <c r="B5">
        <v>270694</v>
      </c>
      <c r="C5">
        <v>18907</v>
      </c>
      <c r="D5">
        <v>6.98</v>
      </c>
      <c r="E5">
        <v>9.3699999999999992</v>
      </c>
      <c r="F5">
        <v>12443.91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0D33-D995-4752-AD3E-4C1A4A66F5F7}">
  <dimension ref="A1:E11"/>
  <sheetViews>
    <sheetView workbookViewId="0">
      <selection activeCell="A2" sqref="A2:E11"/>
    </sheetView>
  </sheetViews>
  <sheetFormatPr defaultRowHeight="14.5" x14ac:dyDescent="0.35"/>
  <cols>
    <col min="1" max="1" width="12" customWidth="1"/>
    <col min="3" max="3" width="9.6328125" customWidth="1"/>
    <col min="4" max="4" width="13.26953125" customWidth="1"/>
    <col min="5" max="5" width="12.7265625" customWidth="1"/>
  </cols>
  <sheetData>
    <row r="1" spans="1:5" x14ac:dyDescent="0.35">
      <c r="A1" t="s">
        <v>50</v>
      </c>
      <c r="B1" t="s">
        <v>15</v>
      </c>
      <c r="C1" t="s">
        <v>2</v>
      </c>
      <c r="D1" t="s">
        <v>16</v>
      </c>
      <c r="E1" t="s">
        <v>34</v>
      </c>
    </row>
    <row r="2" spans="1:5" x14ac:dyDescent="0.35">
      <c r="A2" t="s">
        <v>51</v>
      </c>
      <c r="B2">
        <v>27232</v>
      </c>
      <c r="C2">
        <v>4145</v>
      </c>
      <c r="D2">
        <v>15.22</v>
      </c>
      <c r="E2">
        <v>70973.83</v>
      </c>
    </row>
    <row r="3" spans="1:5" x14ac:dyDescent="0.35">
      <c r="A3" t="s">
        <v>52</v>
      </c>
      <c r="B3">
        <v>17032</v>
      </c>
      <c r="C3">
        <v>2540</v>
      </c>
      <c r="D3">
        <v>14.91</v>
      </c>
      <c r="E3">
        <v>67744.539999999994</v>
      </c>
    </row>
    <row r="4" spans="1:5" x14ac:dyDescent="0.35">
      <c r="A4" t="s">
        <v>53</v>
      </c>
      <c r="B4">
        <v>12611</v>
      </c>
      <c r="C4">
        <v>1859</v>
      </c>
      <c r="D4">
        <v>14.74</v>
      </c>
      <c r="E4">
        <v>71764.33</v>
      </c>
    </row>
    <row r="5" spans="1:5" x14ac:dyDescent="0.35">
      <c r="A5" t="s">
        <v>54</v>
      </c>
      <c r="B5">
        <v>25693</v>
      </c>
      <c r="C5">
        <v>3783</v>
      </c>
      <c r="D5">
        <v>14.72</v>
      </c>
      <c r="E5">
        <v>75840.850000000006</v>
      </c>
    </row>
    <row r="6" spans="1:5" x14ac:dyDescent="0.35">
      <c r="A6" t="s">
        <v>55</v>
      </c>
      <c r="B6">
        <v>20635</v>
      </c>
      <c r="C6">
        <v>3033</v>
      </c>
      <c r="D6">
        <v>14.7</v>
      </c>
      <c r="E6">
        <v>72594.31</v>
      </c>
    </row>
    <row r="7" spans="1:5" x14ac:dyDescent="0.35">
      <c r="A7" t="s">
        <v>56</v>
      </c>
      <c r="B7">
        <v>32569</v>
      </c>
      <c r="C7">
        <v>4651</v>
      </c>
      <c r="D7">
        <v>14.28</v>
      </c>
      <c r="E7">
        <v>73661.710000000006</v>
      </c>
    </row>
    <row r="8" spans="1:5" x14ac:dyDescent="0.35">
      <c r="A8" t="s">
        <v>57</v>
      </c>
      <c r="B8">
        <v>11949</v>
      </c>
      <c r="C8">
        <v>1663</v>
      </c>
      <c r="D8">
        <v>13.92</v>
      </c>
      <c r="E8">
        <v>71767.960000000006</v>
      </c>
    </row>
    <row r="9" spans="1:5" x14ac:dyDescent="0.35">
      <c r="A9" t="s">
        <v>58</v>
      </c>
      <c r="B9">
        <v>186223</v>
      </c>
      <c r="C9">
        <v>25719</v>
      </c>
      <c r="D9">
        <v>13.81</v>
      </c>
      <c r="E9">
        <v>81121.58</v>
      </c>
    </row>
    <row r="10" spans="1:5" x14ac:dyDescent="0.35">
      <c r="A10" t="s">
        <v>60</v>
      </c>
      <c r="B10">
        <v>10656</v>
      </c>
      <c r="C10">
        <v>1453</v>
      </c>
      <c r="D10">
        <v>13.64</v>
      </c>
      <c r="E10">
        <v>74776.02</v>
      </c>
    </row>
    <row r="11" spans="1:5" x14ac:dyDescent="0.35">
      <c r="A11" t="s">
        <v>59</v>
      </c>
      <c r="B11">
        <v>4542</v>
      </c>
      <c r="C11">
        <v>619</v>
      </c>
      <c r="D11">
        <v>13.63</v>
      </c>
      <c r="E11">
        <v>65973.19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94A9-BF58-4926-B8A5-DB7A28696FB1}">
  <dimension ref="A1:B9"/>
  <sheetViews>
    <sheetView workbookViewId="0">
      <selection activeCell="A2" sqref="A2:B9"/>
    </sheetView>
  </sheetViews>
  <sheetFormatPr defaultRowHeight="14.5" x14ac:dyDescent="0.35"/>
  <cols>
    <col min="1" max="1" width="25.7265625" customWidth="1"/>
  </cols>
  <sheetData>
    <row r="1" spans="1:2" x14ac:dyDescent="0.35">
      <c r="A1" t="s">
        <v>61</v>
      </c>
      <c r="B1" t="s">
        <v>62</v>
      </c>
    </row>
    <row r="2" spans="1:2" x14ac:dyDescent="0.35">
      <c r="A2" t="s">
        <v>70</v>
      </c>
      <c r="B2">
        <v>2256378</v>
      </c>
    </row>
    <row r="3" spans="1:2" x14ac:dyDescent="0.35">
      <c r="A3" t="s">
        <v>67</v>
      </c>
      <c r="B3">
        <v>284076</v>
      </c>
    </row>
    <row r="4" spans="1:2" x14ac:dyDescent="0.35">
      <c r="A4" t="s">
        <v>69</v>
      </c>
      <c r="B4">
        <v>12.59</v>
      </c>
    </row>
    <row r="5" spans="1:2" x14ac:dyDescent="0.35">
      <c r="A5" t="s">
        <v>63</v>
      </c>
      <c r="B5">
        <v>33930.660000000003</v>
      </c>
    </row>
    <row r="6" spans="1:2" x14ac:dyDescent="0.35">
      <c r="A6" t="s">
        <v>64</v>
      </c>
      <c r="B6">
        <v>15037.67</v>
      </c>
    </row>
    <row r="7" spans="1:2" x14ac:dyDescent="0.35">
      <c r="A7" t="s">
        <v>65</v>
      </c>
      <c r="B7">
        <v>13.09</v>
      </c>
    </row>
    <row r="8" spans="1:2" x14ac:dyDescent="0.35">
      <c r="A8" t="s">
        <v>66</v>
      </c>
      <c r="B8">
        <v>78127.210000000006</v>
      </c>
    </row>
    <row r="9" spans="1:2" x14ac:dyDescent="0.35">
      <c r="A9" t="s">
        <v>68</v>
      </c>
      <c r="B9">
        <v>3171.81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979B-5A24-467D-BFAC-409153CD87FB}">
  <dimension ref="A1:R17"/>
  <sheetViews>
    <sheetView zoomScale="80" zoomScaleNormal="80" workbookViewId="0">
      <selection activeCell="J24" sqref="J24"/>
    </sheetView>
  </sheetViews>
  <sheetFormatPr defaultRowHeight="14.5" x14ac:dyDescent="0.35"/>
  <cols>
    <col min="1" max="1" width="8.7265625" bestFit="1" customWidth="1"/>
    <col min="2" max="2" width="18.1796875" bestFit="1" customWidth="1"/>
    <col min="3" max="3" width="11.54296875" bestFit="1" customWidth="1"/>
    <col min="4" max="4" width="15" bestFit="1" customWidth="1"/>
    <col min="6" max="6" width="13.08984375" bestFit="1" customWidth="1"/>
    <col min="7" max="7" width="11.54296875" bestFit="1" customWidth="1"/>
    <col min="8" max="8" width="15.1796875" bestFit="1" customWidth="1"/>
    <col min="9" max="9" width="12.36328125" bestFit="1" customWidth="1"/>
    <col min="10" max="10" width="11.54296875" bestFit="1" customWidth="1"/>
    <col min="11" max="11" width="15.1796875" bestFit="1" customWidth="1"/>
    <col min="12" max="12" width="11.54296875" bestFit="1" customWidth="1"/>
    <col min="13" max="13" width="15.1796875" bestFit="1" customWidth="1"/>
    <col min="14" max="14" width="11.54296875" bestFit="1" customWidth="1"/>
    <col min="15" max="15" width="15.1796875" bestFit="1" customWidth="1"/>
    <col min="17" max="17" width="18.1796875" bestFit="1" customWidth="1"/>
    <col min="18" max="18" width="11.54296875" bestFit="1" customWidth="1"/>
  </cols>
  <sheetData>
    <row r="1" spans="1:18" x14ac:dyDescent="0.35">
      <c r="A1" s="19" t="s">
        <v>0</v>
      </c>
      <c r="B1" s="23" t="s">
        <v>70</v>
      </c>
      <c r="C1" s="24" t="s">
        <v>71</v>
      </c>
      <c r="D1" s="25" t="s">
        <v>76</v>
      </c>
      <c r="F1" s="19" t="s">
        <v>74</v>
      </c>
      <c r="G1" s="29" t="s">
        <v>77</v>
      </c>
      <c r="I1" s="19" t="s">
        <v>46</v>
      </c>
      <c r="J1" s="23" t="s">
        <v>76</v>
      </c>
      <c r="K1" s="25" t="s">
        <v>83</v>
      </c>
      <c r="M1" s="19" t="s">
        <v>49</v>
      </c>
      <c r="N1" s="23" t="s">
        <v>76</v>
      </c>
      <c r="O1" s="25" t="s">
        <v>83</v>
      </c>
      <c r="Q1" s="19" t="s">
        <v>14</v>
      </c>
      <c r="R1" s="29" t="s">
        <v>76</v>
      </c>
    </row>
    <row r="2" spans="1:18" x14ac:dyDescent="0.35">
      <c r="A2" s="20" t="s">
        <v>7</v>
      </c>
      <c r="B2" s="14">
        <v>432362</v>
      </c>
      <c r="C2" s="15">
        <v>15083</v>
      </c>
      <c r="D2" s="16">
        <v>3.49</v>
      </c>
      <c r="F2" s="20" t="s">
        <v>40</v>
      </c>
      <c r="G2" s="26">
        <v>10.94</v>
      </c>
      <c r="I2" s="20">
        <v>2007</v>
      </c>
      <c r="J2" s="14">
        <v>26.38</v>
      </c>
      <c r="K2" s="16">
        <v>11.85</v>
      </c>
      <c r="M2" s="20" t="s">
        <v>84</v>
      </c>
      <c r="N2" s="14">
        <v>5.32</v>
      </c>
      <c r="O2" s="16">
        <v>8.9700000000000006</v>
      </c>
      <c r="Q2" s="20" t="s">
        <v>31</v>
      </c>
      <c r="R2" s="26">
        <v>9.5399999999999991</v>
      </c>
    </row>
    <row r="3" spans="1:18" x14ac:dyDescent="0.35">
      <c r="A3" s="21" t="s">
        <v>8</v>
      </c>
      <c r="B3" s="17">
        <v>662451</v>
      </c>
      <c r="C3" s="10">
        <v>55892</v>
      </c>
      <c r="D3" s="11">
        <v>8.44</v>
      </c>
      <c r="F3" s="21" t="s">
        <v>36</v>
      </c>
      <c r="G3" s="27">
        <v>20.88</v>
      </c>
      <c r="I3" s="21">
        <v>2008</v>
      </c>
      <c r="J3" s="17">
        <v>20.73</v>
      </c>
      <c r="K3" s="11">
        <v>12.06</v>
      </c>
      <c r="M3" s="21" t="s">
        <v>87</v>
      </c>
      <c r="N3" s="17">
        <v>6.98</v>
      </c>
      <c r="O3" s="11">
        <v>9.3699999999999992</v>
      </c>
      <c r="Q3" s="21" t="s">
        <v>30</v>
      </c>
      <c r="R3" s="27">
        <v>10.220000000000001</v>
      </c>
    </row>
    <row r="4" spans="1:18" x14ac:dyDescent="0.35">
      <c r="A4" s="21" t="s">
        <v>9</v>
      </c>
      <c r="B4" s="17">
        <v>648743</v>
      </c>
      <c r="C4" s="10">
        <v>90962</v>
      </c>
      <c r="D4" s="11">
        <v>14.02</v>
      </c>
      <c r="F4" s="21" t="s">
        <v>39</v>
      </c>
      <c r="G4" s="27">
        <v>12.57</v>
      </c>
      <c r="I4" s="21">
        <v>2009</v>
      </c>
      <c r="J4" s="17">
        <v>13.69</v>
      </c>
      <c r="K4" s="11">
        <v>12.44</v>
      </c>
      <c r="M4" s="21" t="s">
        <v>85</v>
      </c>
      <c r="N4" s="17">
        <v>14.92</v>
      </c>
      <c r="O4" s="11">
        <v>14.51</v>
      </c>
      <c r="Q4" s="21" t="s">
        <v>22</v>
      </c>
      <c r="R4" s="27">
        <v>13.63</v>
      </c>
    </row>
    <row r="5" spans="1:18" x14ac:dyDescent="0.35">
      <c r="A5" s="21" t="s">
        <v>10</v>
      </c>
      <c r="B5" s="17">
        <v>323627</v>
      </c>
      <c r="C5" s="10">
        <v>64560</v>
      </c>
      <c r="D5" s="11">
        <v>19.95</v>
      </c>
      <c r="F5" s="22" t="s">
        <v>38</v>
      </c>
      <c r="G5" s="28">
        <v>14.65</v>
      </c>
      <c r="I5" s="21">
        <v>2010</v>
      </c>
      <c r="J5" s="17">
        <v>14.01</v>
      </c>
      <c r="K5" s="11">
        <v>11.99</v>
      </c>
      <c r="M5" s="22" t="s">
        <v>86</v>
      </c>
      <c r="N5" s="18">
        <v>21.06</v>
      </c>
      <c r="O5" s="13">
        <v>18.010000000000002</v>
      </c>
      <c r="Q5" s="21" t="s">
        <v>18</v>
      </c>
      <c r="R5" s="27">
        <v>20.75</v>
      </c>
    </row>
    <row r="6" spans="1:18" x14ac:dyDescent="0.35">
      <c r="A6" s="21" t="s">
        <v>11</v>
      </c>
      <c r="B6" s="17">
        <v>135345</v>
      </c>
      <c r="C6" s="10">
        <v>37716</v>
      </c>
      <c r="D6" s="11">
        <v>27.87</v>
      </c>
      <c r="I6" s="21">
        <v>2011</v>
      </c>
      <c r="J6" s="17">
        <v>15.18</v>
      </c>
      <c r="K6" s="11">
        <v>12.22</v>
      </c>
      <c r="Q6" s="21" t="s">
        <v>29</v>
      </c>
      <c r="R6" s="27">
        <v>11.05</v>
      </c>
    </row>
    <row r="7" spans="1:18" x14ac:dyDescent="0.35">
      <c r="A7" s="21" t="s">
        <v>12</v>
      </c>
      <c r="B7" s="17">
        <v>41731</v>
      </c>
      <c r="C7" s="10">
        <v>15064</v>
      </c>
      <c r="D7" s="11">
        <v>36.1</v>
      </c>
      <c r="F7" s="19" t="s">
        <v>50</v>
      </c>
      <c r="G7" s="29" t="s">
        <v>76</v>
      </c>
      <c r="I7" s="21">
        <v>2012</v>
      </c>
      <c r="J7" s="17">
        <v>16.2</v>
      </c>
      <c r="K7" s="11">
        <v>13.64</v>
      </c>
      <c r="M7" s="19" t="s">
        <v>44</v>
      </c>
      <c r="N7" s="29" t="s">
        <v>76</v>
      </c>
      <c r="Q7" s="21" t="s">
        <v>26</v>
      </c>
      <c r="R7" s="27">
        <v>12.3</v>
      </c>
    </row>
    <row r="8" spans="1:18" x14ac:dyDescent="0.35">
      <c r="A8" s="22" t="s">
        <v>13</v>
      </c>
      <c r="B8" s="18">
        <v>12119</v>
      </c>
      <c r="C8" s="12">
        <v>4799</v>
      </c>
      <c r="D8" s="13">
        <v>39.6</v>
      </c>
      <c r="F8" s="20" t="s">
        <v>51</v>
      </c>
      <c r="G8" s="26">
        <v>15.22</v>
      </c>
      <c r="I8" s="21">
        <v>2013</v>
      </c>
      <c r="J8" s="17">
        <v>15.6</v>
      </c>
      <c r="K8" s="11">
        <v>14.53</v>
      </c>
      <c r="M8" s="20" t="s">
        <v>81</v>
      </c>
      <c r="N8" s="26">
        <v>17.010000000000002</v>
      </c>
      <c r="Q8" s="21" t="s">
        <v>28</v>
      </c>
      <c r="R8" s="27">
        <v>11.72</v>
      </c>
    </row>
    <row r="9" spans="1:18" x14ac:dyDescent="0.35">
      <c r="F9" s="21" t="s">
        <v>52</v>
      </c>
      <c r="G9" s="27">
        <v>14.91</v>
      </c>
      <c r="I9" s="21">
        <v>2014</v>
      </c>
      <c r="J9" s="17">
        <v>17.57</v>
      </c>
      <c r="K9" s="11">
        <v>13.77</v>
      </c>
      <c r="M9" s="21" t="s">
        <v>80</v>
      </c>
      <c r="N9" s="27">
        <v>14.5</v>
      </c>
      <c r="Q9" s="21" t="s">
        <v>23</v>
      </c>
      <c r="R9" s="27">
        <v>13.23</v>
      </c>
    </row>
    <row r="10" spans="1:18" x14ac:dyDescent="0.35">
      <c r="F10" s="21" t="s">
        <v>53</v>
      </c>
      <c r="G10" s="27">
        <v>14.74</v>
      </c>
      <c r="I10" s="21">
        <v>2015</v>
      </c>
      <c r="J10" s="17">
        <v>18.25</v>
      </c>
      <c r="K10" s="11">
        <v>12.6</v>
      </c>
      <c r="M10" s="21" t="s">
        <v>79</v>
      </c>
      <c r="N10" s="27">
        <v>11.51</v>
      </c>
      <c r="Q10" s="21" t="s">
        <v>21</v>
      </c>
      <c r="R10" s="27">
        <v>15.31</v>
      </c>
    </row>
    <row r="11" spans="1:18" x14ac:dyDescent="0.35">
      <c r="F11" s="21" t="s">
        <v>54</v>
      </c>
      <c r="G11" s="27">
        <v>14.72</v>
      </c>
      <c r="I11" s="21">
        <v>2016</v>
      </c>
      <c r="J11" s="17">
        <v>16.5</v>
      </c>
      <c r="K11" s="11">
        <v>13.04</v>
      </c>
      <c r="M11" s="21" t="s">
        <v>78</v>
      </c>
      <c r="N11" s="27">
        <v>9.65</v>
      </c>
      <c r="Q11" s="21" t="s">
        <v>24</v>
      </c>
      <c r="R11" s="27">
        <v>12.68</v>
      </c>
    </row>
    <row r="12" spans="1:18" x14ac:dyDescent="0.35">
      <c r="F12" s="21" t="s">
        <v>55</v>
      </c>
      <c r="G12" s="27">
        <v>14.7</v>
      </c>
      <c r="I12" s="21">
        <v>2017</v>
      </c>
      <c r="J12" s="17">
        <v>10.11</v>
      </c>
      <c r="K12" s="11">
        <v>13.24</v>
      </c>
      <c r="M12" s="22" t="s">
        <v>82</v>
      </c>
      <c r="N12" s="28">
        <v>9.18</v>
      </c>
      <c r="Q12" s="21" t="s">
        <v>20</v>
      </c>
      <c r="R12" s="27">
        <v>16.07</v>
      </c>
    </row>
    <row r="13" spans="1:18" x14ac:dyDescent="0.35">
      <c r="F13" s="21" t="s">
        <v>56</v>
      </c>
      <c r="G13" s="27">
        <v>14.28</v>
      </c>
      <c r="I13" s="22">
        <v>2018</v>
      </c>
      <c r="J13" s="18">
        <v>2.72</v>
      </c>
      <c r="K13" s="13">
        <v>12.72</v>
      </c>
      <c r="Q13" s="21" t="s">
        <v>19</v>
      </c>
      <c r="R13" s="27">
        <v>19.82</v>
      </c>
    </row>
    <row r="14" spans="1:18" x14ac:dyDescent="0.35">
      <c r="F14" s="21" t="s">
        <v>57</v>
      </c>
      <c r="G14" s="27">
        <v>13.92</v>
      </c>
      <c r="Q14" s="21" t="s">
        <v>27</v>
      </c>
      <c r="R14" s="27">
        <v>11.99</v>
      </c>
    </row>
    <row r="15" spans="1:18" x14ac:dyDescent="0.35">
      <c r="F15" s="21" t="s">
        <v>58</v>
      </c>
      <c r="G15" s="27">
        <v>13.81</v>
      </c>
      <c r="Q15" s="22" t="s">
        <v>25</v>
      </c>
      <c r="R15" s="28">
        <v>12.4</v>
      </c>
    </row>
    <row r="16" spans="1:18" x14ac:dyDescent="0.35">
      <c r="F16" s="21" t="s">
        <v>60</v>
      </c>
      <c r="G16" s="27">
        <v>13.64</v>
      </c>
    </row>
    <row r="17" spans="6:7" x14ac:dyDescent="0.35">
      <c r="F17" s="22" t="s">
        <v>59</v>
      </c>
      <c r="G17" s="28">
        <v>13.63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B394-57F6-4230-862D-FD26B1DD5388}">
  <dimension ref="A1:T83"/>
  <sheetViews>
    <sheetView tabSelected="1" zoomScale="50" zoomScaleNormal="50" workbookViewId="0">
      <selection activeCell="AB20" sqref="AB20"/>
    </sheetView>
  </sheetViews>
  <sheetFormatPr defaultRowHeight="14.5" x14ac:dyDescent="0.35"/>
  <sheetData>
    <row r="1" spans="1:20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1:20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</row>
    <row r="4" spans="1:20" x14ac:dyDescent="0.3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</row>
    <row r="5" spans="1:20" x14ac:dyDescent="0.3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</row>
    <row r="6" spans="1:20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</row>
    <row r="7" spans="1:20" x14ac:dyDescent="0.3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x14ac:dyDescent="0.3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x14ac:dyDescent="0.3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3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20" x14ac:dyDescent="0.3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3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20" x14ac:dyDescent="0.3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20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3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1:20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</row>
    <row r="18" spans="1:20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</row>
    <row r="19" spans="1:20" x14ac:dyDescent="0.3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</row>
    <row r="20" spans="1:20" x14ac:dyDescent="0.3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</row>
    <row r="21" spans="1:20" x14ac:dyDescent="0.3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x14ac:dyDescent="0.3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</row>
    <row r="23" spans="1:20" x14ac:dyDescent="0.3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</row>
    <row r="24" spans="1:20" x14ac:dyDescent="0.3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</row>
    <row r="25" spans="1:20" x14ac:dyDescent="0.3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</row>
    <row r="26" spans="1:20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</row>
    <row r="27" spans="1:20" x14ac:dyDescent="0.3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</row>
    <row r="28" spans="1:20" x14ac:dyDescent="0.3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</row>
    <row r="29" spans="1:20" x14ac:dyDescent="0.3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</row>
    <row r="30" spans="1:20" x14ac:dyDescent="0.3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</row>
    <row r="31" spans="1:20" x14ac:dyDescent="0.3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</row>
    <row r="32" spans="1:20" x14ac:dyDescent="0.3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</row>
    <row r="33" spans="1:20" x14ac:dyDescent="0.3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</row>
    <row r="34" spans="1:20" x14ac:dyDescent="0.3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</row>
    <row r="35" spans="1:20" x14ac:dyDescent="0.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</row>
    <row r="36" spans="1:20" x14ac:dyDescent="0.3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</row>
    <row r="37" spans="1:20" x14ac:dyDescent="0.3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</row>
    <row r="38" spans="1:20" x14ac:dyDescent="0.3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</row>
    <row r="39" spans="1:20" x14ac:dyDescent="0.3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</row>
    <row r="40" spans="1:20" x14ac:dyDescent="0.3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</row>
    <row r="41" spans="1:20" x14ac:dyDescent="0.3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</row>
    <row r="42" spans="1:20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</row>
    <row r="43" spans="1:20" x14ac:dyDescent="0.3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</row>
    <row r="44" spans="1:20" x14ac:dyDescent="0.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</row>
    <row r="45" spans="1:20" x14ac:dyDescent="0.3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</row>
    <row r="46" spans="1:20" x14ac:dyDescent="0.3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</row>
    <row r="47" spans="1:20" x14ac:dyDescent="0.3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</row>
    <row r="48" spans="1:20" x14ac:dyDescent="0.3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</row>
    <row r="49" spans="1:20" x14ac:dyDescent="0.3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</row>
    <row r="50" spans="1:20" x14ac:dyDescent="0.3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</row>
    <row r="51" spans="1:20" x14ac:dyDescent="0.3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</row>
    <row r="52" spans="1:20" x14ac:dyDescent="0.3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</row>
    <row r="53" spans="1:20" x14ac:dyDescent="0.3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</row>
    <row r="54" spans="1:20" x14ac:dyDescent="0.3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</row>
    <row r="55" spans="1:20" x14ac:dyDescent="0.3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</row>
    <row r="56" spans="1:20" x14ac:dyDescent="0.3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</row>
    <row r="57" spans="1:20" x14ac:dyDescent="0.3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</row>
    <row r="58" spans="1:20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</row>
    <row r="59" spans="1:20" x14ac:dyDescent="0.3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</row>
    <row r="60" spans="1:20" x14ac:dyDescent="0.3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</row>
    <row r="61" spans="1:20" x14ac:dyDescent="0.3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</row>
    <row r="62" spans="1:20" x14ac:dyDescent="0.3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</row>
    <row r="63" spans="1:20" x14ac:dyDescent="0.3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</row>
    <row r="64" spans="1:20" x14ac:dyDescent="0.3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</row>
    <row r="65" spans="1:20" x14ac:dyDescent="0.3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</row>
    <row r="66" spans="1:20" x14ac:dyDescent="0.3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</row>
    <row r="67" spans="1:20" x14ac:dyDescent="0.3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</row>
    <row r="68" spans="1:20" x14ac:dyDescent="0.3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</row>
    <row r="69" spans="1:20" x14ac:dyDescent="0.3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</row>
    <row r="70" spans="1:20" x14ac:dyDescent="0.3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</row>
    <row r="71" spans="1:20" x14ac:dyDescent="0.3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</row>
    <row r="72" spans="1:20" x14ac:dyDescent="0.3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</row>
    <row r="73" spans="1:20" x14ac:dyDescent="0.3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</row>
    <row r="74" spans="1:20" x14ac:dyDescent="0.3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</row>
    <row r="75" spans="1:20" x14ac:dyDescent="0.3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</row>
    <row r="76" spans="1:20" x14ac:dyDescent="0.3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</row>
    <row r="77" spans="1:20" x14ac:dyDescent="0.3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</row>
    <row r="78" spans="1:20" x14ac:dyDescent="0.3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</row>
    <row r="79" spans="1:20" x14ac:dyDescent="0.3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0" spans="1:20" x14ac:dyDescent="0.3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</row>
    <row r="81" spans="1:20" x14ac:dyDescent="0.3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</row>
    <row r="82" spans="1:20" x14ac:dyDescent="0.3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</row>
    <row r="83" spans="1:20" x14ac:dyDescent="0.3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4999315-AC81-4B46-8756-5A8CE5FA28EC}">
  <ds:schemaRefs/>
</ds:datastoreItem>
</file>

<file path=customXml/itemProps2.xml><?xml version="1.0" encoding="utf-8"?>
<ds:datastoreItem xmlns:ds="http://schemas.openxmlformats.org/officeDocument/2006/customXml" ds:itemID="{8F5BA58C-2009-44C4-9A9C-7F183527FAD6}">
  <ds:schemaRefs/>
</ds:datastoreItem>
</file>

<file path=customXml/itemProps3.xml><?xml version="1.0" encoding="utf-8"?>
<ds:datastoreItem xmlns:ds="http://schemas.openxmlformats.org/officeDocument/2006/customXml" ds:itemID="{ABFF8EF7-3853-45FE-AFD3-B8509AA7AB41}">
  <ds:schemaRefs/>
</ds:datastoreItem>
</file>

<file path=customXml/itemProps4.xml><?xml version="1.0" encoding="utf-8"?>
<ds:datastoreItem xmlns:ds="http://schemas.openxmlformats.org/officeDocument/2006/customXml" ds:itemID="{6416A2B6-EB46-42FE-84EA-358D8F3F8435}">
  <ds:schemaRefs/>
</ds:datastoreItem>
</file>

<file path=customXml/itemProps5.xml><?xml version="1.0" encoding="utf-8"?>
<ds:datastoreItem xmlns:ds="http://schemas.openxmlformats.org/officeDocument/2006/customXml" ds:itemID="{9FCB4F47-DA3A-43CA-AE61-48F0055BB4DB}">
  <ds:schemaRefs/>
</ds:datastoreItem>
</file>

<file path=customXml/itemProps6.xml><?xml version="1.0" encoding="utf-8"?>
<ds:datastoreItem xmlns:ds="http://schemas.openxmlformats.org/officeDocument/2006/customXml" ds:itemID="{D7F61D6F-5690-4B4B-9627-F4F79F3E9DF9}">
  <ds:schemaRefs/>
</ds:datastoreItem>
</file>

<file path=customXml/itemProps7.xml><?xml version="1.0" encoding="utf-8"?>
<ds:datastoreItem xmlns:ds="http://schemas.openxmlformats.org/officeDocument/2006/customXml" ds:itemID="{DB57675C-4397-4C79-8412-7308A8D779A9}">
  <ds:schemaRefs/>
</ds:datastoreItem>
</file>

<file path=customXml/itemProps8.xml><?xml version="1.0" encoding="utf-8"?>
<ds:datastoreItem xmlns:ds="http://schemas.openxmlformats.org/officeDocument/2006/customXml" ds:itemID="{F6F987A1-B8BC-451C-8331-9DC1E8D78732}">
  <ds:schemaRefs/>
</ds:datastoreItem>
</file>

<file path=customXml/itemProps9.xml><?xml version="1.0" encoding="utf-8"?>
<ds:datastoreItem xmlns:ds="http://schemas.openxmlformats.org/officeDocument/2006/customXml" ds:itemID="{84680B67-FBCF-4833-9C5F-32597FC9DC71}">
  <ds:schemaRefs/>
</ds:datastoreItem>
</file>

<file path=customXml/itemProps10.xml><?xml version="1.0" encoding="utf-8"?>
<ds:datastoreItem xmlns:ds="http://schemas.openxmlformats.org/officeDocument/2006/customXml" ds:itemID="{E9586A9D-B7D7-4E98-AB0D-297C87B8F59E}">
  <ds:schemaRefs/>
</ds:datastoreItem>
</file>

<file path=customXml/itemProps11.xml><?xml version="1.0" encoding="utf-8"?>
<ds:datastoreItem xmlns:ds="http://schemas.openxmlformats.org/officeDocument/2006/customXml" ds:itemID="{7FEBB4A7-BDB9-49A5-BB2B-1EC877D657FB}">
  <ds:schemaRefs/>
</ds:datastoreItem>
</file>

<file path=customXml/itemProps12.xml><?xml version="1.0" encoding="utf-8"?>
<ds:datastoreItem xmlns:ds="http://schemas.openxmlformats.org/officeDocument/2006/customXml" ds:itemID="{DC434E1A-F03B-4902-88B8-BE5DFE153DF2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20504C8-143C-45CF-BC37-6F994C13E0C6}">
  <ds:schemaRefs/>
</ds:datastoreItem>
</file>

<file path=customXml/itemProps14.xml><?xml version="1.0" encoding="utf-8"?>
<ds:datastoreItem xmlns:ds="http://schemas.openxmlformats.org/officeDocument/2006/customXml" ds:itemID="{5528637C-CF44-4066-B005-48E0121BB529}">
  <ds:schemaRefs/>
</ds:datastoreItem>
</file>

<file path=customXml/itemProps15.xml><?xml version="1.0" encoding="utf-8"?>
<ds:datastoreItem xmlns:ds="http://schemas.openxmlformats.org/officeDocument/2006/customXml" ds:itemID="{EB9E73DC-B927-4BF2-A885-5D6F00E4C21B}">
  <ds:schemaRefs/>
</ds:datastoreItem>
</file>

<file path=customXml/itemProps16.xml><?xml version="1.0" encoding="utf-8"?>
<ds:datastoreItem xmlns:ds="http://schemas.openxmlformats.org/officeDocument/2006/customXml" ds:itemID="{EA127857-86AA-401B-B07F-65EEB71108A0}">
  <ds:schemaRefs/>
</ds:datastoreItem>
</file>

<file path=customXml/itemProps17.xml><?xml version="1.0" encoding="utf-8"?>
<ds:datastoreItem xmlns:ds="http://schemas.openxmlformats.org/officeDocument/2006/customXml" ds:itemID="{E99CB17C-9D6A-4150-AB08-F7E3F6CFEE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Core_risk_analysis</vt:lpstr>
      <vt:lpstr>Borrower_profile</vt:lpstr>
      <vt:lpstr>DTI_Analysis</vt:lpstr>
      <vt:lpstr>Time_series_analysis</vt:lpstr>
      <vt:lpstr>Risk_analysis</vt:lpstr>
      <vt:lpstr>Geographic_analysis</vt:lpstr>
      <vt:lpstr>KPIs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Sibin Augustine</dc:creator>
  <cp:lastModifiedBy>Sibin Augustine</cp:lastModifiedBy>
  <dcterms:created xsi:type="dcterms:W3CDTF">2026-09-01T11:32:50Z</dcterms:created>
  <dcterms:modified xsi:type="dcterms:W3CDTF">2026-09-02T10:49:19Z</dcterms:modified>
</cp:coreProperties>
</file>